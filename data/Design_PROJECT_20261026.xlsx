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esign_PROJECT" sheetId="1" state="visible" r:id="rId1"/>
    <sheet xmlns:r="http://schemas.openxmlformats.org/officeDocument/2006/relationships" name="팀별_점수합계" sheetId="2" state="visible" r:id="rId2"/>
    <sheet xmlns:r="http://schemas.openxmlformats.org/officeDocument/2006/relationships" name="팀별_업무분석" sheetId="3" state="visible" r:id="rId3"/>
  </sheets>
  <definedNames>
    <definedName name="_xlnm._FilterDatabase" localSheetId="0" hidden="1">'Design_PROJECT'!$B$1:$N$78</definedName>
    <definedName name="_xlnm.Print_Titles" localSheetId="0">'Design_PROJECT'!$1:$1</definedName>
    <definedName name="_xlnm.Print_Area" localSheetId="0">'Design_PROJECT'!$A$1:$N$78</definedName>
    <definedName name="_xlnm.Print_Area" localSheetId="2">'팀별_업무분석'!$C$3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D&quot;#"/>
    <numFmt numFmtId="165" formatCode="0.0%"/>
  </numFmts>
  <fonts count="2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11"/>
    </font>
    <font>
      <name val="맑은 고딕"/>
      <charset val="129"/>
      <family val="3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i val="1"/>
      <color rgb="FF666666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5" tint="0.399975585192419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4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  <xf numFmtId="0" fontId="19" fillId="0" borderId="0" applyAlignment="1">
      <alignment vertical="center"/>
    </xf>
    <xf numFmtId="0" fontId="21" fillId="0" borderId="0"/>
  </cellStyleXfs>
  <cellXfs count="22">
    <xf numFmtId="0" fontId="0" fillId="0" borderId="0" applyAlignment="1" pivotButton="0" quotePrefix="0" xfId="0">
      <alignment vertical="center"/>
    </xf>
    <xf numFmtId="0" fontId="0" fillId="33" borderId="10" applyAlignment="1" pivotButton="0" quotePrefix="0" xfId="0">
      <alignment horizontal="center" vertical="center"/>
    </xf>
    <xf numFmtId="0" fontId="0" fillId="0" borderId="1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left" vertical="center"/>
    </xf>
    <xf numFmtId="49" fontId="20" fillId="0" borderId="10" applyAlignment="1" pivotButton="0" quotePrefix="0" xfId="42">
      <alignment horizontal="left" vertical="center" shrinkToFit="1"/>
    </xf>
    <xf numFmtId="0" fontId="21" fillId="0" borderId="10" applyAlignment="1" pivotButton="0" quotePrefix="0" xfId="43">
      <alignment horizontal="center"/>
    </xf>
    <xf numFmtId="0" fontId="21" fillId="0" borderId="0" pivotButton="0" quotePrefix="0" xfId="43"/>
    <xf numFmtId="0" fontId="0" fillId="34" borderId="10" applyAlignment="1" pivotButton="0" quotePrefix="0" xfId="0">
      <alignment vertical="center"/>
    </xf>
    <xf numFmtId="164" fontId="20" fillId="0" borderId="10" applyAlignment="1" pivotButton="0" quotePrefix="0" xfId="42">
      <alignment horizontal="left" vertical="center" shrinkToFit="1"/>
    </xf>
    <xf numFmtId="0" fontId="0" fillId="0" borderId="11" applyAlignment="1" pivotButton="0" quotePrefix="0" xfId="0">
      <alignment vertical="center"/>
    </xf>
    <xf numFmtId="0" fontId="16" fillId="35" borderId="11" applyAlignment="1" pivotButton="0" quotePrefix="0" xfId="0">
      <alignment horizontal="center" vertical="center"/>
    </xf>
    <xf numFmtId="0" fontId="16" fillId="0" borderId="11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165" fontId="0" fillId="0" borderId="11" applyAlignment="1" pivotButton="0" quotePrefix="0" xfId="0">
      <alignment vertical="center"/>
    </xf>
    <xf numFmtId="0" fontId="0" fillId="36" borderId="10" applyAlignment="1" pivotButton="0" quotePrefix="0" xfId="0">
      <alignment vertical="center"/>
    </xf>
    <xf numFmtId="164" fontId="20" fillId="36" borderId="10" applyAlignment="1" pivotButton="0" quotePrefix="0" xfId="42">
      <alignment horizontal="left" vertical="center" shrinkToFit="1"/>
    </xf>
    <xf numFmtId="0" fontId="0" fillId="33" borderId="0" applyAlignment="1" pivotButton="0" quotePrefix="0" xfId="0">
      <alignment vertical="center"/>
    </xf>
    <xf numFmtId="0" fontId="0" fillId="0" borderId="0" pivotButton="0" quotePrefix="0" xfId="0"/>
    <xf numFmtId="164" fontId="20" fillId="0" borderId="10" applyAlignment="1" pivotButton="0" quotePrefix="0" xfId="42">
      <alignment horizontal="left" vertical="center" shrinkToFit="1"/>
    </xf>
    <xf numFmtId="164" fontId="20" fillId="36" borderId="10" applyAlignment="1" pivotButton="0" quotePrefix="0" xfId="42">
      <alignment horizontal="left" vertical="center" shrinkToFit="1"/>
    </xf>
    <xf numFmtId="165" fontId="0" fillId="0" borderId="11" applyAlignment="1" pivotButton="0" quotePrefix="0" xfId="0">
      <alignment vertical="center"/>
    </xf>
  </cellXfs>
  <cellStyles count="44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  <cellStyle name="표준 2" xfId="42"/>
    <cellStyle name="표준 3" xfId="4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title>
    <plotArea>
      <layout/>
      <barChart>
        <barDir val="col"/>
        <grouping val="percentStacked"/>
        <varyColors val="0"/>
        <ser>
          <idx val="0"/>
          <order val="0"/>
          <tx>
            <strRef>
              <f>팀별_업무분석!$B$1</f>
              <strCache>
                <ptCount val="1"/>
                <pt idx="0">
                  <v>기획</v>
                </pt>
              </strCache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7030A0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팀별_업무분석!$A$2:$A$4</f>
              <strCache>
                <ptCount val="3"/>
                <pt idx="0">
                  <v>P1</v>
                </pt>
                <pt idx="1">
                  <v>P2</v>
                </pt>
                <pt idx="2">
                  <v>P3</v>
                </pt>
              </strCache>
            </strRef>
          </cat>
          <val>
            <numRef>
              <f>팀별_업무분석!$B$2:$B$4</f>
              <numCache>
                <formatCode>0.0%</formatCode>
                <ptCount val="3"/>
                <pt idx="0">
                  <v>0.5769230769230769</v>
                </pt>
                <pt idx="1">
                  <v>0.75</v>
                </pt>
                <pt idx="2">
                  <v>0.3333333333333333</v>
                </pt>
              </numCache>
            </numRef>
          </val>
        </ser>
        <ser>
          <idx val="1"/>
          <order val="1"/>
          <tx>
            <strRef>
              <f>팀별_업무분석!$C$1</f>
              <strCache>
                <ptCount val="1"/>
                <pt idx="0">
                  <v>기본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팀별_업무분석!$A$2:$A$4</f>
              <strCache>
                <ptCount val="3"/>
                <pt idx="0">
                  <v>P1</v>
                </pt>
                <pt idx="1">
                  <v>P2</v>
                </pt>
                <pt idx="2">
                  <v>P3</v>
                </pt>
              </strCache>
            </strRef>
          </cat>
          <val>
            <numRef>
              <f>팀별_업무분석!$C$2:$C$4</f>
              <numCache>
                <formatCode>0.0%</formatCode>
                <ptCount val="3"/>
                <pt idx="0">
                  <v>0.07692307692307693</v>
                </pt>
                <pt idx="1">
                  <v>0.1875</v>
                </pt>
                <pt idx="2">
                  <v>0.2</v>
                </pt>
              </numCache>
            </numRef>
          </val>
        </ser>
        <ser>
          <idx val="2"/>
          <order val="2"/>
          <tx>
            <strRef>
              <f>팀별_업무분석!$D$1</f>
              <strCache>
                <ptCount val="1"/>
                <pt idx="0">
                  <v>실시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팀별_업무분석!$A$2:$A$4</f>
              <strCache>
                <ptCount val="3"/>
                <pt idx="0">
                  <v>P1</v>
                </pt>
                <pt idx="1">
                  <v>P2</v>
                </pt>
                <pt idx="2">
                  <v>P3</v>
                </pt>
              </strCache>
            </strRef>
          </cat>
          <val>
            <numRef>
              <f>팀별_업무분석!$D$2:$D$4</f>
              <numCache>
                <formatCode>0.0%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3"/>
          <order val="3"/>
          <tx>
            <strRef>
              <f>팀별_업무분석!$E$1</f>
              <strCache>
                <ptCount val="1"/>
                <pt idx="0">
                  <v>대기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팀별_업무분석!$A$2:$A$4</f>
              <strCache>
                <ptCount val="3"/>
                <pt idx="0">
                  <v>P1</v>
                </pt>
                <pt idx="1">
                  <v>P2</v>
                </pt>
                <pt idx="2">
                  <v>P3</v>
                </pt>
              </strCache>
            </strRef>
          </cat>
          <val>
            <numRef>
              <f>팀별_업무분석!$E$2:$E$4</f>
              <numCache>
                <formatCode>0.0%</formatCode>
                <ptCount val="3"/>
                <pt idx="0">
                  <v>0.3076923076923077</v>
                </pt>
                <pt idx="1">
                  <v>0.0625</v>
                </pt>
                <pt idx="2">
                  <v>0.4666666666666667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022616048"/>
        <axId val="1022614608"/>
      </barChart>
      <catAx>
        <axId val="10226160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022614608"/>
        <crosses val="autoZero"/>
        <auto val="1"/>
        <lblAlgn val="ctr"/>
        <lblOffset val="100"/>
        <noMultiLvlLbl val="0"/>
      </catAx>
      <valAx>
        <axId val="1022614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1022616048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4</row>
      <rowOff>209548</rowOff>
    </from>
    <to>
      <col>11</col>
      <colOff>0</colOff>
      <row>27</row>
      <rowOff>209549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8"/>
  <sheetViews>
    <sheetView tabSelected="1" view="pageBreakPreview" topLeftCell="A7" zoomScale="90" zoomScaleNormal="70" zoomScaleSheetLayoutView="90" workbookViewId="0">
      <selection activeCell="A72" sqref="A72"/>
    </sheetView>
  </sheetViews>
  <sheetFormatPr baseColWidth="8" defaultRowHeight="16.5"/>
  <cols>
    <col width="13" bestFit="1" customWidth="1" style="18" min="2" max="2"/>
    <col width="65.125" customWidth="1" style="18" min="3" max="3"/>
    <col width="100.75" customWidth="1" style="18" min="4" max="4"/>
    <col width="23.25" customWidth="1" style="18" min="5" max="5"/>
    <col width="19.25" bestFit="1" customWidth="1" style="18" min="6" max="6"/>
    <col width="11.125" bestFit="1" customWidth="1" style="18" min="7" max="7"/>
    <col width="13.5" bestFit="1" customWidth="1" style="18" min="8" max="8"/>
    <col width="19.125" bestFit="1" customWidth="1" style="18" min="10" max="10"/>
    <col width="29.625" bestFit="1" customWidth="1" style="18" min="11" max="11"/>
    <col width="14.375" customWidth="1" style="18" min="12" max="12"/>
    <col width="14.125" customWidth="1" style="18" min="13" max="13"/>
    <col width="29.5" bestFit="1" customWidth="1" style="18" min="14" max="14"/>
  </cols>
  <sheetData>
    <row r="1">
      <c r="A1" s="17" t="inlineStr">
        <is>
          <t>번호</t>
        </is>
      </c>
      <c r="B1" s="1" t="inlineStr">
        <is>
          <t>프로젝트코드</t>
        </is>
      </c>
      <c r="C1" s="1" t="inlineStr">
        <is>
          <t>프로젝트명</t>
        </is>
      </c>
      <c r="D1" s="1" t="inlineStr">
        <is>
          <t>이력코드</t>
        </is>
      </c>
      <c r="E1" s="1" t="inlineStr">
        <is>
          <t>발주처</t>
        </is>
      </c>
      <c r="F1" s="1" t="inlineStr">
        <is>
          <t>건설사</t>
        </is>
      </c>
      <c r="G1" s="1" t="inlineStr">
        <is>
          <t>소속팀</t>
        </is>
      </c>
      <c r="H1" s="1" t="inlineStr">
        <is>
          <t>담당자</t>
        </is>
      </c>
      <c r="I1" s="1" t="inlineStr">
        <is>
          <t>설계</t>
        </is>
      </c>
      <c r="J1" s="1" t="inlineStr">
        <is>
          <t>규모</t>
        </is>
      </c>
      <c r="K1" s="1" t="inlineStr">
        <is>
          <t>설계진행상황</t>
        </is>
      </c>
      <c r="L1" s="1" t="inlineStr">
        <is>
          <t>현재단계</t>
        </is>
      </c>
      <c r="M1" s="1" t="inlineStr">
        <is>
          <t>점수</t>
        </is>
      </c>
      <c r="N1" s="1" t="inlineStr">
        <is>
          <t>기타사항</t>
        </is>
      </c>
    </row>
    <row r="2">
      <c r="A2" s="3" t="n">
        <v>1</v>
      </c>
      <c r="B2" s="2" t="inlineStr">
        <is>
          <t>D1946</t>
        </is>
      </c>
      <c r="C2" s="2" t="inlineStr">
        <is>
          <t>울산 율동지구 A-2블럭 환경디자인</t>
        </is>
      </c>
      <c r="D2" s="2" t="inlineStr">
        <is>
          <t>[D1946] 심의1911~2011/기본2103~2201/대기</t>
        </is>
      </c>
      <c r="E2" s="2" t="inlineStr">
        <is>
          <t>에이비라인건축/대흥건축</t>
        </is>
      </c>
      <c r="F2" s="2" t="inlineStr">
        <is>
          <t>울산도시공사</t>
        </is>
      </c>
      <c r="G2" s="2" t="inlineStr">
        <is>
          <t>GM</t>
        </is>
      </c>
      <c r="H2" s="2" t="inlineStr">
        <is>
          <t>박상원</t>
        </is>
      </c>
      <c r="I2" s="2" t="n"/>
      <c r="J2" s="2" t="n"/>
      <c r="K2" s="2" t="n"/>
      <c r="L2" s="3" t="inlineStr">
        <is>
          <t>대기</t>
        </is>
      </c>
      <c r="M2" s="6" t="n"/>
      <c r="N2" s="3" t="inlineStr">
        <is>
          <t>GM</t>
        </is>
      </c>
    </row>
    <row r="3">
      <c r="A3" s="3" t="n">
        <v>2</v>
      </c>
      <c r="B3" s="2" t="inlineStr">
        <is>
          <t>D2048</t>
        </is>
      </c>
      <c r="C3" s="2" t="inlineStr">
        <is>
          <t>광주계림3 익스테리어 디자인</t>
        </is>
      </c>
      <c r="D3" s="2" t="inlineStr">
        <is>
          <t>[D2048] 심의2103~11, 2301~10 / 대기 / 준공미정</t>
        </is>
      </c>
      <c r="E3" s="2" t="inlineStr">
        <is>
          <t>한화건설</t>
        </is>
      </c>
      <c r="F3" s="2" t="inlineStr">
        <is>
          <t>한화건설</t>
        </is>
      </c>
      <c r="G3" s="2" t="inlineStr">
        <is>
          <t>TEAM</t>
        </is>
      </c>
      <c r="H3" s="2" t="inlineStr">
        <is>
          <t>양수정</t>
        </is>
      </c>
      <c r="I3" s="2" t="n"/>
      <c r="J3" s="2" t="inlineStr">
        <is>
          <t>10개동,1376세대</t>
        </is>
      </c>
      <c r="K3" s="2" t="n"/>
      <c r="L3" s="3" t="inlineStr">
        <is>
          <t>대기</t>
        </is>
      </c>
      <c r="M3" s="6" t="n"/>
      <c r="N3" s="3" t="inlineStr">
        <is>
          <t>T1</t>
        </is>
      </c>
    </row>
    <row r="4">
      <c r="A4" s="3" t="n">
        <v>3</v>
      </c>
      <c r="B4" s="2" t="inlineStr">
        <is>
          <t>D2105</t>
        </is>
      </c>
      <c r="C4" s="2" t="inlineStr">
        <is>
          <t>전주하가지구주택재개발정비사업특화설계 경관계획용역</t>
        </is>
      </c>
      <c r="D4" s="2" t="inlineStr">
        <is>
          <t>[D2105] 재심의2412~  / 분양2610~</t>
        </is>
      </c>
      <c r="E4" s="2" t="inlineStr">
        <is>
          <t>현대종합설계</t>
        </is>
      </c>
      <c r="F4" s="2" t="inlineStr">
        <is>
          <t>현대건설</t>
        </is>
      </c>
      <c r="G4" s="2" t="inlineStr">
        <is>
          <t>TEAM</t>
        </is>
      </c>
      <c r="H4" s="2" t="inlineStr">
        <is>
          <t>양수정</t>
        </is>
      </c>
      <c r="I4" s="2" t="n"/>
      <c r="J4" s="2" t="inlineStr">
        <is>
          <t>27개동,1994세대</t>
        </is>
      </c>
      <c r="K4" s="2" t="inlineStr">
        <is>
          <t>대기중</t>
        </is>
      </c>
      <c r="L4" s="3" t="inlineStr">
        <is>
          <t>기획</t>
        </is>
      </c>
      <c r="M4" s="6" t="n">
        <v>5</v>
      </c>
      <c r="N4" s="3" t="inlineStr">
        <is>
          <t>T2,GM</t>
        </is>
      </c>
    </row>
    <row r="5">
      <c r="A5" s="3" t="n">
        <v>4</v>
      </c>
      <c r="B5" s="2" t="inlineStr">
        <is>
          <t>D2147</t>
        </is>
      </c>
      <c r="C5" s="2" t="inlineStr">
        <is>
          <t>대전시 서구 탄방동 518-2번지 일원 공동주택 건축외관디자인</t>
        </is>
      </c>
      <c r="D5" s="2" t="inlineStr">
        <is>
          <t>[D2147] 대기 / 준공미정</t>
        </is>
      </c>
      <c r="E5" s="2" t="inlineStr">
        <is>
          <t>유승디앤씨</t>
        </is>
      </c>
      <c r="F5" s="2" t="inlineStr">
        <is>
          <t>롯데건설</t>
        </is>
      </c>
      <c r="G5" s="2" t="inlineStr">
        <is>
          <t>GM</t>
        </is>
      </c>
      <c r="H5" s="2" t="inlineStr">
        <is>
          <t>박상원</t>
        </is>
      </c>
      <c r="I5" s="2" t="n"/>
      <c r="J5" s="2" t="n"/>
      <c r="K5" s="2" t="n"/>
      <c r="L5" s="3" t="inlineStr">
        <is>
          <t>대기</t>
        </is>
      </c>
      <c r="M5" s="6" t="n"/>
      <c r="N5" s="3" t="inlineStr">
        <is>
          <t>GM</t>
        </is>
      </c>
    </row>
    <row r="6">
      <c r="A6" s="3" t="n">
        <v>5</v>
      </c>
      <c r="B6" s="2" t="inlineStr">
        <is>
          <t>D2148</t>
        </is>
      </c>
      <c r="C6" s="2" t="inlineStr">
        <is>
          <t>거제시 옥포동 1670번지 일원 공동주택 건축외관디자인</t>
        </is>
      </c>
      <c r="D6" s="2" t="inlineStr">
        <is>
          <t>[D2148] 심의2308~11 / 분양2608~09 / 설계2701~</t>
        </is>
      </c>
      <c r="E6" s="2" t="inlineStr">
        <is>
          <t>옥포드림파크 피에프브이</t>
        </is>
      </c>
      <c r="F6" s="2" t="inlineStr">
        <is>
          <t>현대엔지니어링</t>
        </is>
      </c>
      <c r="G6" s="2" t="inlineStr">
        <is>
          <t>P3</t>
        </is>
      </c>
      <c r="H6" s="2" t="inlineStr">
        <is>
          <t>김주경</t>
        </is>
      </c>
      <c r="I6" s="2" t="n"/>
      <c r="J6" s="2" t="inlineStr">
        <is>
          <t>14개동</t>
        </is>
      </c>
      <c r="K6" s="2" t="n"/>
      <c r="L6" s="3" t="inlineStr">
        <is>
          <t>기본</t>
        </is>
      </c>
      <c r="M6" s="6" t="n">
        <v>4</v>
      </c>
      <c r="N6" s="3" t="n"/>
    </row>
    <row r="7">
      <c r="A7" s="3" t="n">
        <v>6</v>
      </c>
      <c r="B7" s="2" t="inlineStr">
        <is>
          <t>D2149</t>
        </is>
      </c>
      <c r="C7" s="2" t="inlineStr">
        <is>
          <t>가야동 197번지 공동주택 건축외관디자인</t>
        </is>
      </c>
      <c r="D7" s="2" t="inlineStr">
        <is>
          <t>[D2150] 대기 / 기본2411~ / 준공2612</t>
        </is>
      </c>
      <c r="E7" s="2" t="inlineStr">
        <is>
          <t>세종앤파트너스7</t>
        </is>
      </c>
      <c r="F7" s="2" t="inlineStr">
        <is>
          <t>현대건설</t>
        </is>
      </c>
      <c r="G7" s="2" t="inlineStr">
        <is>
          <t>GM</t>
        </is>
      </c>
      <c r="H7" s="2" t="inlineStr">
        <is>
          <t>박상원</t>
        </is>
      </c>
      <c r="I7" s="2" t="n"/>
      <c r="J7" s="2" t="inlineStr">
        <is>
          <t>3개동, 407세대</t>
        </is>
      </c>
      <c r="K7" s="2" t="inlineStr">
        <is>
          <t>1차 작업중</t>
        </is>
      </c>
      <c r="L7" s="3" t="inlineStr">
        <is>
          <t>현장지원</t>
        </is>
      </c>
      <c r="M7" s="6" t="n">
        <v>2</v>
      </c>
      <c r="N7" s="3" t="inlineStr">
        <is>
          <t>GM</t>
        </is>
      </c>
    </row>
    <row r="8">
      <c r="A8" s="3" t="n">
        <v>7</v>
      </c>
      <c r="B8" s="2" t="inlineStr">
        <is>
          <t>D2150</t>
        </is>
      </c>
      <c r="C8" s="2" t="inlineStr">
        <is>
          <t>가야동 197-3번지 공동주택 건축외관디자인</t>
        </is>
      </c>
      <c r="D8" s="2" t="inlineStr">
        <is>
          <t>[D2150] 대기 / 기본2411~ / 준공2612</t>
        </is>
      </c>
      <c r="E8" s="2" t="inlineStr">
        <is>
          <t>가야도시개발</t>
        </is>
      </c>
      <c r="F8" s="2" t="inlineStr">
        <is>
          <t>현대건설</t>
        </is>
      </c>
      <c r="G8" s="2" t="inlineStr">
        <is>
          <t>GM</t>
        </is>
      </c>
      <c r="H8" s="2" t="inlineStr">
        <is>
          <t>박상원</t>
        </is>
      </c>
      <c r="I8" s="2" t="n"/>
      <c r="J8" s="2" t="inlineStr">
        <is>
          <t>1개동, 81세대</t>
        </is>
      </c>
      <c r="K8" s="2" t="inlineStr">
        <is>
          <t>1차 작업중</t>
        </is>
      </c>
      <c r="L8" s="3" t="inlineStr">
        <is>
          <t>현장지원</t>
        </is>
      </c>
      <c r="M8" s="6" t="n">
        <v>2</v>
      </c>
      <c r="N8" s="3" t="inlineStr">
        <is>
          <t>GM</t>
        </is>
      </c>
    </row>
    <row r="9">
      <c r="A9" s="3" t="n">
        <v>8</v>
      </c>
      <c r="B9" s="2" t="inlineStr">
        <is>
          <t>D2202</t>
        </is>
      </c>
      <c r="C9" s="2" t="inlineStr">
        <is>
          <t>오송 KTX역 오피스텔 건축외관디자인</t>
        </is>
      </c>
      <c r="D9" s="2" t="inlineStr">
        <is>
          <t>[D2202] 심의2203~07/분양2208~11/재심의2412~/분양2608~09/대기</t>
        </is>
      </c>
      <c r="E9" s="2" t="inlineStr">
        <is>
          <t>하나온개발</t>
        </is>
      </c>
      <c r="F9" s="2" t="inlineStr">
        <is>
          <t>현대엔지니어링</t>
        </is>
      </c>
      <c r="G9" s="2" t="inlineStr">
        <is>
          <t>P3</t>
        </is>
      </c>
      <c r="H9" s="2" t="inlineStr">
        <is>
          <t>김주경</t>
        </is>
      </c>
      <c r="I9" s="2" t="n"/>
      <c r="J9" s="2" t="inlineStr">
        <is>
          <t>2개블럭 17개동</t>
        </is>
      </c>
      <c r="K9" s="2" t="n"/>
      <c r="L9" s="3" t="inlineStr">
        <is>
          <t>기본</t>
        </is>
      </c>
      <c r="M9" s="6" t="n">
        <v>4</v>
      </c>
      <c r="N9" s="3" t="n"/>
    </row>
    <row r="10">
      <c r="A10" s="3" t="n">
        <v>9</v>
      </c>
      <c r="B10" s="2" t="inlineStr">
        <is>
          <t>D2203</t>
        </is>
      </c>
      <c r="C10" s="8" t="inlineStr">
        <is>
          <t>대구신천동(137-1번지외) 주상복합 건축외관디자인</t>
        </is>
      </c>
      <c r="D10" s="2" t="inlineStr">
        <is>
          <t>[D2203] 분양2210~2301 / 기본2307~2310, 2401~ / 설계2308~2310, 2401 / 준공2604</t>
        </is>
      </c>
      <c r="E10" s="2" t="inlineStr">
        <is>
          <t>모아에이엔씨</t>
        </is>
      </c>
      <c r="F10" s="2" t="inlineStr">
        <is>
          <t>현대건설</t>
        </is>
      </c>
      <c r="G10" s="2" t="inlineStr">
        <is>
          <t>P3</t>
        </is>
      </c>
      <c r="H10" s="2" t="inlineStr">
        <is>
          <t>김주경</t>
        </is>
      </c>
      <c r="I10" s="2" t="inlineStr">
        <is>
          <t>홍대성</t>
        </is>
      </c>
      <c r="J10" s="2" t="inlineStr">
        <is>
          <t>4개동</t>
        </is>
      </c>
      <c r="K10" s="2" t="inlineStr">
        <is>
          <t>1차납품 완료(24.02.16)</t>
        </is>
      </c>
      <c r="L10" s="3" t="inlineStr">
        <is>
          <t>현장지원</t>
        </is>
      </c>
      <c r="M10" s="6" t="n">
        <v>2</v>
      </c>
      <c r="N10" s="3" t="inlineStr">
        <is>
          <t>T2</t>
        </is>
      </c>
    </row>
    <row r="11">
      <c r="A11" s="3" t="n">
        <v>10</v>
      </c>
      <c r="B11" s="2" t="inlineStr">
        <is>
          <t>D2205</t>
        </is>
      </c>
      <c r="C11" s="2" t="inlineStr">
        <is>
          <t>의정부 호원 공공지원 민간임대주택 건축외관디자인</t>
        </is>
      </c>
      <c r="D11" s="2" t="inlineStr">
        <is>
          <t>[D2205] 심의2208~09, 2312~2401 / 기본2407~2411 / 설계2407~2409, 2412 / 실시도서2506~10 / 준공2612</t>
        </is>
      </c>
      <c r="E11" s="2" t="inlineStr">
        <is>
          <t>호원임대주택조합</t>
        </is>
      </c>
      <c r="F11" s="2" t="inlineStr">
        <is>
          <t>현대건설</t>
        </is>
      </c>
      <c r="G11" s="2" t="inlineStr">
        <is>
          <t>P1</t>
        </is>
      </c>
      <c r="H11" s="2" t="inlineStr">
        <is>
          <t>박제정</t>
        </is>
      </c>
      <c r="I11" s="2" t="n"/>
      <c r="J11" s="2" t="inlineStr">
        <is>
          <t>12개동</t>
        </is>
      </c>
      <c r="K11" s="2" t="inlineStr">
        <is>
          <t>최종납품 완료(24.12.03)</t>
        </is>
      </c>
      <c r="L11" s="3" t="inlineStr">
        <is>
          <t>현장지원</t>
        </is>
      </c>
      <c r="M11" s="6" t="n">
        <v>2</v>
      </c>
      <c r="N11" s="3" t="n"/>
    </row>
    <row r="12">
      <c r="A12" s="3" t="n">
        <v>11</v>
      </c>
      <c r="B12" s="2" t="inlineStr">
        <is>
          <t>D2206</t>
        </is>
      </c>
      <c r="C12" s="8" t="inlineStr">
        <is>
          <t>평택시 비전동 844번지외 5필지 주상복합 건축외관디자인</t>
        </is>
      </c>
      <c r="D12" s="2" t="inlineStr">
        <is>
          <t>[D2206] 심의2204 , 2401~2410 / 대기</t>
        </is>
      </c>
      <c r="E12" s="2" t="inlineStr">
        <is>
          <t>이화글로베스트</t>
        </is>
      </c>
      <c r="F12" s="2" t="inlineStr">
        <is>
          <t>-</t>
        </is>
      </c>
      <c r="G12" s="2" t="inlineStr">
        <is>
          <t>GM</t>
        </is>
      </c>
      <c r="H12" s="2" t="inlineStr">
        <is>
          <t>박상원</t>
        </is>
      </c>
      <c r="I12" s="2" t="n"/>
      <c r="J12" s="2" t="inlineStr">
        <is>
          <t>3개동,446세대</t>
        </is>
      </c>
      <c r="K12" s="2" t="n"/>
      <c r="L12" s="3" t="inlineStr">
        <is>
          <t>대기</t>
        </is>
      </c>
      <c r="M12" s="6" t="n"/>
      <c r="N12" s="3" t="inlineStr">
        <is>
          <t>GM</t>
        </is>
      </c>
    </row>
    <row r="13">
      <c r="A13" s="3" t="n">
        <v>12</v>
      </c>
      <c r="B13" s="2" t="inlineStr">
        <is>
          <t>D2208</t>
        </is>
      </c>
      <c r="C13" s="2" t="inlineStr">
        <is>
          <t>인천 청천대진 익스테리어 디자인용역</t>
        </is>
      </c>
      <c r="D13" s="2" t="inlineStr">
        <is>
          <t>[D2208] 심의2203~07, 2210~2305, 2309~2312, 2402~ / 대기 / 준공미정</t>
        </is>
      </c>
      <c r="E13" s="2" t="inlineStr">
        <is>
          <t>한화건설</t>
        </is>
      </c>
      <c r="F13" s="2" t="inlineStr">
        <is>
          <t>한화건설</t>
        </is>
      </c>
      <c r="G13" s="2" t="inlineStr">
        <is>
          <t>P1</t>
        </is>
      </c>
      <c r="H13" s="2" t="inlineStr">
        <is>
          <t>박제정</t>
        </is>
      </c>
      <c r="I13" s="2" t="n"/>
      <c r="J13" s="2" t="inlineStr">
        <is>
          <t>6개동</t>
        </is>
      </c>
      <c r="K13" s="2" t="n"/>
      <c r="L13" s="3" t="inlineStr">
        <is>
          <t>대기</t>
        </is>
      </c>
      <c r="M13" s="6" t="n"/>
      <c r="N13" s="3" t="n"/>
    </row>
    <row r="14">
      <c r="A14" s="3" t="n">
        <v>13</v>
      </c>
      <c r="B14" s="2" t="inlineStr">
        <is>
          <t>D2209</t>
        </is>
      </c>
      <c r="C14" s="2" t="inlineStr">
        <is>
          <t>부산 청학1구역 익스테리어디자인</t>
        </is>
      </c>
      <c r="D14" s="2" t="inlineStr">
        <is>
          <t>[D2209] 심의2206~2307 / 대기 / 준공미정</t>
        </is>
      </c>
      <c r="E14" s="2" t="inlineStr">
        <is>
          <t>한화건설</t>
        </is>
      </c>
      <c r="F14" s="2" t="inlineStr">
        <is>
          <t>한화건설</t>
        </is>
      </c>
      <c r="G14" s="2" t="inlineStr">
        <is>
          <t>P1</t>
        </is>
      </c>
      <c r="H14" s="2" t="inlineStr">
        <is>
          <t>박제정</t>
        </is>
      </c>
      <c r="I14" s="2" t="n"/>
      <c r="J14" s="2" t="inlineStr">
        <is>
          <t>3개동</t>
        </is>
      </c>
      <c r="K14" s="2" t="n"/>
      <c r="L14" s="3" t="inlineStr">
        <is>
          <t>대기</t>
        </is>
      </c>
      <c r="M14" s="6" t="n"/>
      <c r="N14" s="3" t="n"/>
    </row>
    <row r="15">
      <c r="A15" s="3" t="n">
        <v>14</v>
      </c>
      <c r="B15" s="2" t="inlineStr">
        <is>
          <t>D2215</t>
        </is>
      </c>
      <c r="C15" s="2" t="inlineStr">
        <is>
          <t>천안 성정동 주상복합 건축외관디자인</t>
        </is>
      </c>
      <c r="D15" s="2" t="inlineStr">
        <is>
          <t>[D2215] 심의2206~09 /분양2209~10 / 기본2306~08, 2312~04 / 설계 2401~04 / 실시2601~07 / 준공2708</t>
        </is>
      </c>
      <c r="E15" s="2" t="inlineStr">
        <is>
          <t>천안성정동개발사업</t>
        </is>
      </c>
      <c r="F15" s="2" t="inlineStr">
        <is>
          <t>현대건설</t>
        </is>
      </c>
      <c r="G15" s="2" t="inlineStr">
        <is>
          <t>P1</t>
        </is>
      </c>
      <c r="H15" s="2" t="inlineStr">
        <is>
          <t>박제정</t>
        </is>
      </c>
      <c r="I15" s="2" t="n"/>
      <c r="J15" s="2" t="inlineStr">
        <is>
          <t>6개동/상환경</t>
        </is>
      </c>
      <c r="K15" s="2" t="inlineStr">
        <is>
          <t>1차송부 완료(24.03.29)</t>
        </is>
      </c>
      <c r="L15" s="3" t="inlineStr">
        <is>
          <t>현장지원</t>
        </is>
      </c>
      <c r="M15" s="3" t="n">
        <v>3</v>
      </c>
      <c r="N15" s="3" t="n"/>
    </row>
    <row r="16">
      <c r="A16" s="3" t="n">
        <v>15</v>
      </c>
      <c r="B16" s="2" t="inlineStr">
        <is>
          <t>D2218</t>
        </is>
      </c>
      <c r="C16" s="2" t="inlineStr">
        <is>
          <t>양주회천지구 E2-1,2,3BL 주상복합</t>
        </is>
      </c>
      <c r="D16" s="2" t="inlineStr">
        <is>
          <t>[D2218] 심의2205~12 / 대기 / 준공2505</t>
        </is>
      </c>
      <c r="E16" s="2" t="inlineStr">
        <is>
          <t>썸매니지먼트</t>
        </is>
      </c>
      <c r="F16" s="2" t="inlineStr">
        <is>
          <t>신화종합건설</t>
        </is>
      </c>
      <c r="G16" s="2" t="inlineStr">
        <is>
          <t>P1</t>
        </is>
      </c>
      <c r="H16" s="2" t="inlineStr">
        <is>
          <t>박제정</t>
        </is>
      </c>
      <c r="I16" s="2" t="n"/>
      <c r="J16" s="2" t="inlineStr">
        <is>
          <t>2개동</t>
        </is>
      </c>
      <c r="K16" s="2" t="n"/>
      <c r="L16" s="3" t="inlineStr">
        <is>
          <t>대기</t>
        </is>
      </c>
      <c r="M16" s="6" t="n"/>
      <c r="N16" s="3" t="n"/>
    </row>
    <row r="17">
      <c r="A17" s="3" t="n">
        <v>16</v>
      </c>
      <c r="B17" s="2" t="inlineStr">
        <is>
          <t>D2223</t>
        </is>
      </c>
      <c r="C17" s="2" t="inlineStr">
        <is>
          <t>대구 대봉1-2 주택재건축정비사업 외관디자인</t>
        </is>
      </c>
      <c r="D17" s="2" t="inlineStr">
        <is>
          <t>[D2223] 심의2209~10 , 2608~ / 준공미정</t>
        </is>
      </c>
      <c r="E17" s="2" t="inlineStr">
        <is>
          <t>현대엔지니어링</t>
        </is>
      </c>
      <c r="F17" s="2" t="inlineStr">
        <is>
          <t>현대엔지니어링</t>
        </is>
      </c>
      <c r="G17" s="2" t="inlineStr">
        <is>
          <t>P2</t>
        </is>
      </c>
      <c r="H17" s="2" t="inlineStr">
        <is>
          <t>최은진</t>
        </is>
      </c>
      <c r="I17" s="2" t="n"/>
      <c r="J17" s="2" t="inlineStr">
        <is>
          <t>5개동</t>
        </is>
      </c>
      <c r="K17" s="2" t="n"/>
      <c r="L17" s="3" t="inlineStr">
        <is>
          <t>기획</t>
        </is>
      </c>
      <c r="M17" s="6" t="n">
        <v>5</v>
      </c>
      <c r="N17" s="3" t="n"/>
    </row>
    <row r="18">
      <c r="A18" s="3" t="n">
        <v>17</v>
      </c>
      <c r="B18" s="8" t="inlineStr">
        <is>
          <t>D2226</t>
        </is>
      </c>
      <c r="C18" s="8" t="inlineStr">
        <is>
          <t>의정부 나리벡시티 도시개발사업 외부환경디자인(추가)</t>
        </is>
      </c>
      <c r="D18" s="8" t="inlineStr">
        <is>
          <t>[D2106] 심의2208~09,2312~2401 / 분양2208~11 / 기본2405~11 / 설계2406~11 / 실시2412 / 리비전 2610~ / 준공2612</t>
        </is>
      </c>
      <c r="E18" s="8" t="inlineStr">
        <is>
          <t>나리벡씨티개발</t>
        </is>
      </c>
      <c r="F18" s="8" t="inlineStr">
        <is>
          <t>롯데건설</t>
        </is>
      </c>
      <c r="G18" s="8" t="inlineStr">
        <is>
          <t>P1</t>
        </is>
      </c>
      <c r="H18" s="2" t="inlineStr">
        <is>
          <t>박제정</t>
        </is>
      </c>
      <c r="I18" s="2" t="n"/>
      <c r="J18" s="2" t="inlineStr">
        <is>
          <t>4개동</t>
        </is>
      </c>
      <c r="K18" s="2" t="inlineStr">
        <is>
          <t>최종납품 완료(24.11.29)</t>
        </is>
      </c>
      <c r="L18" s="3" t="inlineStr">
        <is>
          <t>리비전</t>
        </is>
      </c>
      <c r="M18" s="3" t="n">
        <v>2</v>
      </c>
      <c r="N18" s="3" t="inlineStr">
        <is>
          <t>리비전단계</t>
        </is>
      </c>
    </row>
    <row r="19">
      <c r="A19" s="3" t="n">
        <v>18</v>
      </c>
      <c r="B19" s="2" t="inlineStr">
        <is>
          <t>D2229</t>
        </is>
      </c>
      <c r="C19" s="2" t="inlineStr">
        <is>
          <t>하남교산 B-3BL 공동주택 설계용역(토탈디자인)</t>
        </is>
      </c>
      <c r="D19" s="2" t="inlineStr">
        <is>
          <t>[D2229] 심의2209~12, 2301~10 / 대기 / 준공3005</t>
        </is>
      </c>
      <c r="E19" s="2" t="inlineStr">
        <is>
          <t>한국토지주택공사LH</t>
        </is>
      </c>
      <c r="F19" s="2" t="inlineStr">
        <is>
          <t>신동아건설</t>
        </is>
      </c>
      <c r="G19" s="2" t="inlineStr">
        <is>
          <t>P3</t>
        </is>
      </c>
      <c r="H19" s="2" t="inlineStr">
        <is>
          <t>김주경</t>
        </is>
      </c>
      <c r="I19" s="2" t="n"/>
      <c r="J19" s="2" t="inlineStr">
        <is>
          <t>13개동</t>
        </is>
      </c>
      <c r="K19" s="2" t="n"/>
      <c r="L19" s="3" t="inlineStr">
        <is>
          <t>대기</t>
        </is>
      </c>
      <c r="M19" s="6" t="n"/>
      <c r="N19" s="3" t="n"/>
    </row>
    <row r="20">
      <c r="A20" s="3" t="n">
        <v>19</v>
      </c>
      <c r="B20" s="2" t="inlineStr">
        <is>
          <t>D2236</t>
        </is>
      </c>
      <c r="C20" s="2" t="inlineStr">
        <is>
          <t>잠실 스포츠MICE 색채사인디자인</t>
        </is>
      </c>
      <c r="D20" s="2" t="inlineStr">
        <is>
          <t>[D2236] 심의2310~2503 / 서울시 협상완료 및 실시협약체결(2607)</t>
        </is>
      </c>
      <c r="E20" s="2" t="inlineStr">
        <is>
          <t>DA건축</t>
        </is>
      </c>
      <c r="F20" s="2" t="inlineStr">
        <is>
          <t>한화건설</t>
        </is>
      </c>
      <c r="G20" s="2" t="inlineStr">
        <is>
          <t>ALL</t>
        </is>
      </c>
      <c r="H20" s="2" t="inlineStr">
        <is>
          <t>박상원</t>
        </is>
      </c>
      <c r="I20" s="2" t="n"/>
      <c r="J20" s="2" t="n"/>
      <c r="K20" s="2" t="n"/>
      <c r="L20" s="3" t="inlineStr">
        <is>
          <t>기획</t>
        </is>
      </c>
      <c r="M20" s="6" t="n">
        <v>5</v>
      </c>
      <c r="N20" s="3" t="inlineStr">
        <is>
          <t>1월심의접수</t>
        </is>
      </c>
    </row>
    <row r="21">
      <c r="A21" s="3" t="n">
        <v>20</v>
      </c>
      <c r="B21" s="2" t="inlineStr">
        <is>
          <t>D2301</t>
        </is>
      </c>
      <c r="C21" s="2" t="inlineStr">
        <is>
          <t>덕소5구역 도시환경정비사업 건축외관디자인</t>
        </is>
      </c>
      <c r="D21" s="2" t="inlineStr">
        <is>
          <t>[D2301] 대기 / 준공미정</t>
        </is>
      </c>
      <c r="E21" s="2" t="inlineStr">
        <is>
          <t>현대엔지니어링</t>
        </is>
      </c>
      <c r="F21" s="2" t="inlineStr">
        <is>
          <t>현대엔지니어링</t>
        </is>
      </c>
      <c r="G21" s="2" t="inlineStr">
        <is>
          <t>GM</t>
        </is>
      </c>
      <c r="H21" s="2" t="inlineStr">
        <is>
          <t>박상원</t>
        </is>
      </c>
      <c r="I21" s="2" t="n"/>
      <c r="J21" s="2" t="inlineStr">
        <is>
          <t>6개동, 990세대</t>
        </is>
      </c>
      <c r="K21" s="2" t="n"/>
      <c r="L21" s="3" t="inlineStr">
        <is>
          <t>대기</t>
        </is>
      </c>
      <c r="M21" s="6" t="n"/>
      <c r="N21" s="3" t="inlineStr">
        <is>
          <t>GM</t>
        </is>
      </c>
    </row>
    <row r="22">
      <c r="A22" s="3" t="n">
        <v>21</v>
      </c>
      <c r="B22" s="2" t="inlineStr">
        <is>
          <t>D2302</t>
        </is>
      </c>
      <c r="C22" s="2" t="inlineStr">
        <is>
          <t>부산 범천4재개발정비사업 건축외관디자인</t>
        </is>
      </c>
      <c r="D22" s="2" t="inlineStr">
        <is>
          <t>[D2302] 심의2302~07 / 대기 / 준공미정</t>
        </is>
      </c>
      <c r="E22" s="2" t="inlineStr">
        <is>
          <t>영탑건축사사무소</t>
        </is>
      </c>
      <c r="F22" s="2" t="inlineStr">
        <is>
          <t>현대건설</t>
        </is>
      </c>
      <c r="G22" s="2" t="inlineStr">
        <is>
          <t>P3</t>
        </is>
      </c>
      <c r="H22" s="2" t="inlineStr">
        <is>
          <t>김주경</t>
        </is>
      </c>
      <c r="I22" s="2" t="n"/>
      <c r="J22" s="2" t="inlineStr">
        <is>
          <t>18개동</t>
        </is>
      </c>
      <c r="K22" s="2" t="n"/>
      <c r="L22" s="3" t="inlineStr">
        <is>
          <t>대기</t>
        </is>
      </c>
      <c r="M22" s="6" t="n"/>
      <c r="N22" s="3" t="inlineStr">
        <is>
          <t>T2</t>
        </is>
      </c>
    </row>
    <row r="23">
      <c r="A23" s="3" t="n">
        <v>22</v>
      </c>
      <c r="B23" s="2" t="inlineStr">
        <is>
          <t>D2303</t>
        </is>
      </c>
      <c r="C23" s="2" t="inlineStr">
        <is>
          <t>방화동연계형 1BL 익스테리어 디자인</t>
        </is>
      </c>
      <c r="D23" s="2" t="inlineStr">
        <is>
          <t>[D2303] 심의2304~07, 2409~2411 / 준공미정</t>
        </is>
      </c>
      <c r="E23" s="2" t="inlineStr">
        <is>
          <t>한화건설</t>
        </is>
      </c>
      <c r="F23" s="2" t="inlineStr">
        <is>
          <t>한화건설</t>
        </is>
      </c>
      <c r="G23" s="2" t="inlineStr">
        <is>
          <t>P3</t>
        </is>
      </c>
      <c r="H23" s="2" t="inlineStr">
        <is>
          <t>김주경</t>
        </is>
      </c>
      <c r="I23" s="2" t="n"/>
      <c r="J23" s="2" t="inlineStr">
        <is>
          <t>4개동</t>
        </is>
      </c>
      <c r="K23" s="2" t="n"/>
      <c r="L23" s="3" t="inlineStr">
        <is>
          <t>대기</t>
        </is>
      </c>
      <c r="M23" s="6" t="n"/>
      <c r="N23" s="3" t="n"/>
    </row>
    <row r="24">
      <c r="A24" s="3" t="n">
        <v>23</v>
      </c>
      <c r="B24" s="2" t="inlineStr">
        <is>
          <t>D2306,7</t>
        </is>
      </c>
      <c r="C24" s="2" t="inlineStr">
        <is>
          <t>울산 신정동 주상복합 건축외관디자인, 상환경디자인</t>
        </is>
      </c>
      <c r="D24" s="2" t="inlineStr">
        <is>
          <t>[D2306,7]심의2304~2312 / 분양2312~2402 / 기본2409~2507 / 설계2411~2507 / 실시 2509~2601 / 준공2702</t>
        </is>
      </c>
      <c r="E24" s="2" t="inlineStr">
        <is>
          <t>비케이파트너스</t>
        </is>
      </c>
      <c r="F24" s="2" t="inlineStr">
        <is>
          <t>현대엔지니어링</t>
        </is>
      </c>
      <c r="G24" s="8" t="inlineStr">
        <is>
          <t>P1</t>
        </is>
      </c>
      <c r="H24" s="2" t="inlineStr">
        <is>
          <t>박제정</t>
        </is>
      </c>
      <c r="I24" s="2" t="inlineStr">
        <is>
          <t>홍대성</t>
        </is>
      </c>
      <c r="J24" s="2" t="inlineStr">
        <is>
          <t>4개동/상환경</t>
        </is>
      </c>
      <c r="K24" s="2" t="inlineStr">
        <is>
          <t>1차 작업중</t>
        </is>
      </c>
      <c r="L24" s="3" t="inlineStr">
        <is>
          <t>현장지원</t>
        </is>
      </c>
      <c r="M24" s="6" t="n">
        <v>2</v>
      </c>
      <c r="N24" s="3" t="inlineStr">
        <is>
          <t>특화+상환경</t>
        </is>
      </c>
    </row>
    <row r="25">
      <c r="A25" s="3" t="n">
        <v>24</v>
      </c>
      <c r="B25" s="2" t="inlineStr">
        <is>
          <t>D2308</t>
        </is>
      </c>
      <c r="C25" s="2" t="inlineStr">
        <is>
          <t>수서역 환승센터 복합개발사업 외부특화분야, 색채, 사인분야</t>
        </is>
      </c>
      <c r="D25" s="2" t="inlineStr">
        <is>
          <t xml:space="preserve">[D2308] 심의2303~04, 2306~08, 2408/ 2508 실시계획인가승인 </t>
        </is>
      </c>
      <c r="E25" s="2" t="inlineStr">
        <is>
          <t>혜원까치건축</t>
        </is>
      </c>
      <c r="F25" s="2" t="inlineStr">
        <is>
          <t>한화건설</t>
        </is>
      </c>
      <c r="G25" s="2" t="inlineStr">
        <is>
          <t>ALL</t>
        </is>
      </c>
      <c r="H25" s="2" t="inlineStr">
        <is>
          <t>박상원</t>
        </is>
      </c>
      <c r="I25" s="2" t="n"/>
      <c r="J25" s="2" t="inlineStr">
        <is>
          <t>9개동 복합시설</t>
        </is>
      </c>
      <c r="K25" s="2" t="n"/>
      <c r="L25" s="3" t="inlineStr">
        <is>
          <t>기본</t>
        </is>
      </c>
      <c r="M25" s="3" t="n">
        <v>4</v>
      </c>
      <c r="N25" s="3" t="inlineStr">
        <is>
          <t>GM,T1,T2</t>
        </is>
      </c>
    </row>
    <row r="26">
      <c r="A26" s="3" t="n">
        <v>25</v>
      </c>
      <c r="B26" s="2" t="inlineStr">
        <is>
          <t>D2310</t>
        </is>
      </c>
      <c r="C26" s="2" t="inlineStr">
        <is>
          <t>천안 구성 1,2구역재개발 익스테리어디자인</t>
        </is>
      </c>
      <c r="D26" s="2" t="inlineStr">
        <is>
          <t>[D2310] 심의2307~2409, 2503, 2609~ / 대기 / 준공미정</t>
        </is>
      </c>
      <c r="E26" s="2" t="inlineStr">
        <is>
          <t>한화건설</t>
        </is>
      </c>
      <c r="F26" s="2" t="inlineStr">
        <is>
          <t>한화건설</t>
        </is>
      </c>
      <c r="G26" s="2" t="inlineStr">
        <is>
          <t>P2</t>
        </is>
      </c>
      <c r="H26" s="2" t="inlineStr">
        <is>
          <t>최은진</t>
        </is>
      </c>
      <c r="I26" s="2" t="n"/>
      <c r="J26" s="2" t="inlineStr">
        <is>
          <t>10개동</t>
        </is>
      </c>
      <c r="K26" s="2" t="n"/>
      <c r="L26" s="3" t="inlineStr">
        <is>
          <t>기획</t>
        </is>
      </c>
      <c r="M26" s="6" t="n">
        <v>5</v>
      </c>
      <c r="N26" s="3" t="n"/>
    </row>
    <row r="27">
      <c r="A27" s="3" t="n">
        <v>26</v>
      </c>
      <c r="B27" s="2" t="inlineStr">
        <is>
          <t>D2314</t>
        </is>
      </c>
      <c r="C27" s="2" t="inlineStr">
        <is>
          <t>남양주시 화도읍 묵현리 아파트 외관특화디자인</t>
        </is>
      </c>
      <c r="D27" s="2" t="inlineStr">
        <is>
          <t>[D2314] 심의2307~11 / 대기 / 준공미정</t>
        </is>
      </c>
      <c r="E27" s="2" t="inlineStr">
        <is>
          <t>와이티월드</t>
        </is>
      </c>
      <c r="F27" s="2" t="inlineStr">
        <is>
          <t>두산건설</t>
        </is>
      </c>
      <c r="G27" s="8" t="inlineStr">
        <is>
          <t>P1</t>
        </is>
      </c>
      <c r="H27" s="2" t="inlineStr">
        <is>
          <t>박제정</t>
        </is>
      </c>
      <c r="I27" s="2" t="n"/>
      <c r="J27" s="2" t="inlineStr">
        <is>
          <t>8개동</t>
        </is>
      </c>
      <c r="K27" s="2" t="n"/>
      <c r="L27" s="3" t="inlineStr">
        <is>
          <t>대기</t>
        </is>
      </c>
      <c r="M27" s="6" t="n"/>
      <c r="N27" s="3" t="n"/>
    </row>
    <row r="28">
      <c r="A28" s="3" t="n">
        <v>27</v>
      </c>
      <c r="B28" s="2" t="inlineStr">
        <is>
          <t>D2315</t>
        </is>
      </c>
      <c r="C28" s="2" t="inlineStr">
        <is>
          <t>청주 강서2지구 지역주택조합 환경색채/공용홀 디자인</t>
        </is>
      </c>
      <c r="D28" s="2" t="inlineStr">
        <is>
          <t>[D2315] 심의2308~12 / 분양2501~ / 준공2705</t>
        </is>
      </c>
      <c r="E28" s="2" t="inlineStr">
        <is>
          <t>롯데건설</t>
        </is>
      </c>
      <c r="F28" s="2" t="inlineStr">
        <is>
          <t>롯데건설</t>
        </is>
      </c>
      <c r="G28" s="2" t="inlineStr">
        <is>
          <t>P3</t>
        </is>
      </c>
      <c r="H28" s="2" t="inlineStr">
        <is>
          <t>김주경</t>
        </is>
      </c>
      <c r="I28" s="2" t="n"/>
      <c r="J28" s="2" t="inlineStr">
        <is>
          <t>10개동</t>
        </is>
      </c>
      <c r="K28" s="2" t="n"/>
      <c r="L28" s="3" t="inlineStr">
        <is>
          <t>현장지원</t>
        </is>
      </c>
      <c r="M28" s="6" t="n">
        <v>2</v>
      </c>
      <c r="N28" s="3" t="inlineStr">
        <is>
          <t>외주-1</t>
        </is>
      </c>
    </row>
    <row r="29">
      <c r="A29" s="3" t="n">
        <v>28</v>
      </c>
      <c r="B29" s="2" t="inlineStr">
        <is>
          <t>D2316</t>
        </is>
      </c>
      <c r="C29" s="8" t="inlineStr">
        <is>
          <t>인천시 계양구 효성동 101-21,123-30번지 공동주택 환경색채 및 공용홀디자인</t>
        </is>
      </c>
      <c r="D29" s="2" t="inlineStr">
        <is>
          <t>[D2316] 심의2309~12/분양2312~2403/기본2405~06/설계2406~/색채2406~/준공2707(3블럭),2711(4블럭)</t>
        </is>
      </c>
      <c r="E29" s="2" t="inlineStr">
        <is>
          <t>롯데건설</t>
        </is>
      </c>
      <c r="F29" s="2" t="inlineStr">
        <is>
          <t>롯데건설</t>
        </is>
      </c>
      <c r="G29" s="2" t="inlineStr">
        <is>
          <t>P2</t>
        </is>
      </c>
      <c r="H29" s="2" t="inlineStr">
        <is>
          <t>최은진</t>
        </is>
      </c>
      <c r="I29" s="2" t="n"/>
      <c r="J29" s="2" t="inlineStr">
        <is>
          <t>30개동</t>
        </is>
      </c>
      <c r="K29" s="2" t="inlineStr">
        <is>
          <t>최종납품 완료(24.09.25)</t>
        </is>
      </c>
      <c r="L29" s="3" t="inlineStr">
        <is>
          <t>현장지원</t>
        </is>
      </c>
      <c r="M29" s="3" t="n">
        <v>2</v>
      </c>
      <c r="N29" s="3" t="n"/>
    </row>
    <row r="30">
      <c r="A30" s="3" t="n">
        <v>29</v>
      </c>
      <c r="B30" s="15" t="inlineStr">
        <is>
          <t>D2321</t>
        </is>
      </c>
      <c r="C30" s="15" t="inlineStr">
        <is>
          <t>여수 소호동 공동주택 익스테리어 디자인</t>
        </is>
      </c>
      <c r="D30" s="2" t="inlineStr">
        <is>
          <t>[D2321] 심의2402~04 / 대기 / 준공미정</t>
        </is>
      </c>
      <c r="E30" s="2" t="inlineStr">
        <is>
          <t>애이엔유건축</t>
        </is>
      </c>
      <c r="F30" s="2" t="inlineStr">
        <is>
          <t>한화건설</t>
        </is>
      </c>
      <c r="G30" s="8" t="inlineStr">
        <is>
          <t>P1</t>
        </is>
      </c>
      <c r="H30" s="2" t="inlineStr">
        <is>
          <t>박제정</t>
        </is>
      </c>
      <c r="I30" s="2" t="n"/>
      <c r="J30" s="2" t="inlineStr">
        <is>
          <t>1개동,오피스텔</t>
        </is>
      </c>
      <c r="K30" s="2" t="n"/>
      <c r="L30" s="3" t="inlineStr">
        <is>
          <t>대기</t>
        </is>
      </c>
      <c r="M30" s="6" t="n"/>
      <c r="N30" s="3" t="n"/>
    </row>
    <row r="31">
      <c r="A31" s="3" t="n">
        <v>30</v>
      </c>
      <c r="B31" s="2" t="inlineStr">
        <is>
          <t>D2324</t>
        </is>
      </c>
      <c r="C31" s="2" t="inlineStr">
        <is>
          <t>부산 괴정6구역 재개발정비사업 환경색채/공용홀 디자인설계용역</t>
        </is>
      </c>
      <c r="D31" s="2" t="inlineStr">
        <is>
          <t>[D2324] 심의2312~2403 / 대기 / 준공2908</t>
        </is>
      </c>
      <c r="E31" s="2" t="inlineStr">
        <is>
          <t>롯데건설</t>
        </is>
      </c>
      <c r="F31" s="2" t="inlineStr">
        <is>
          <t>롯데건설</t>
        </is>
      </c>
      <c r="G31" s="2" t="inlineStr">
        <is>
          <t>P3</t>
        </is>
      </c>
      <c r="H31" s="2" t="inlineStr">
        <is>
          <t>김주경</t>
        </is>
      </c>
      <c r="I31" s="2" t="n"/>
      <c r="J31" s="2" t="inlineStr">
        <is>
          <t>9개동</t>
        </is>
      </c>
      <c r="K31" s="2" t="n"/>
      <c r="L31" s="3" t="inlineStr">
        <is>
          <t>대기</t>
        </is>
      </c>
      <c r="M31" s="6" t="n"/>
      <c r="N31" s="3" t="n"/>
    </row>
    <row r="32">
      <c r="A32" s="3" t="n">
        <v>31</v>
      </c>
      <c r="B32" s="2" t="inlineStr">
        <is>
          <t>D2326</t>
        </is>
      </c>
      <c r="C32" s="2" t="inlineStr">
        <is>
          <t>인천 청라 C18BL 오피스텔 환경색채 디자인</t>
        </is>
      </c>
      <c r="D32" s="2" t="inlineStr">
        <is>
          <t>[D2326] 심의2401~01 / 기본2406~08 / 설계2409~11 / 준공미정</t>
        </is>
      </c>
      <c r="E32" s="2" t="inlineStr">
        <is>
          <t>대우건설</t>
        </is>
      </c>
      <c r="F32" s="2" t="inlineStr">
        <is>
          <t>대우건설</t>
        </is>
      </c>
      <c r="G32" s="2" t="inlineStr">
        <is>
          <t>P2</t>
        </is>
      </c>
      <c r="H32" s="2" t="inlineStr">
        <is>
          <t>최은진</t>
        </is>
      </c>
      <c r="I32" s="2" t="inlineStr">
        <is>
          <t>외주</t>
        </is>
      </c>
      <c r="J32" s="2" t="inlineStr">
        <is>
          <t>2개동</t>
        </is>
      </c>
      <c r="K32" s="2" t="inlineStr">
        <is>
          <t>2차 작업중</t>
        </is>
      </c>
      <c r="L32" s="3" t="inlineStr">
        <is>
          <t>현장지원</t>
        </is>
      </c>
      <c r="M32" s="6" t="n">
        <v>2</v>
      </c>
      <c r="N32" s="3" t="n"/>
    </row>
    <row r="33">
      <c r="A33" s="3" t="n">
        <v>32</v>
      </c>
      <c r="B33" s="2" t="inlineStr">
        <is>
          <t>D2327</t>
        </is>
      </c>
      <c r="C33" s="2" t="inlineStr">
        <is>
          <t>부산동래사적공원 외관특화디자인</t>
        </is>
      </c>
      <c r="D33" s="2" t="inlineStr">
        <is>
          <t>[D2327] 심의2312~2403 / 분양2404~2405 / 기본2610~ / 준공미정</t>
        </is>
      </c>
      <c r="E33" s="2" t="inlineStr">
        <is>
          <t>대광건영</t>
        </is>
      </c>
      <c r="F33" s="2" t="inlineStr">
        <is>
          <t>대광건영</t>
        </is>
      </c>
      <c r="G33" s="2" t="inlineStr">
        <is>
          <t>P2</t>
        </is>
      </c>
      <c r="H33" s="2" t="inlineStr">
        <is>
          <t>최은진</t>
        </is>
      </c>
      <c r="I33" s="2" t="n"/>
      <c r="J33" s="2" t="inlineStr">
        <is>
          <t xml:space="preserve"> </t>
        </is>
      </c>
      <c r="K33" s="2" t="n"/>
      <c r="L33" s="3" t="inlineStr">
        <is>
          <t>기본</t>
        </is>
      </c>
      <c r="M33" s="6" t="n">
        <v>4</v>
      </c>
      <c r="N33" s="3" t="n"/>
    </row>
    <row r="34">
      <c r="A34" s="3" t="n">
        <v>33</v>
      </c>
      <c r="B34" s="2" t="inlineStr">
        <is>
          <t>D2328</t>
        </is>
      </c>
      <c r="C34" s="2" t="inlineStr">
        <is>
          <t>서인제권 12사단, 지작사 관사 색채디자인</t>
        </is>
      </c>
      <c r="D34" s="2" t="inlineStr">
        <is>
          <t>[D2328] 색채2401 / 대기</t>
        </is>
      </c>
      <c r="E34" s="2" t="inlineStr">
        <is>
          <t>희림건축</t>
        </is>
      </c>
      <c r="F34" s="2" t="inlineStr">
        <is>
          <t>-</t>
        </is>
      </c>
      <c r="G34" s="2" t="inlineStr">
        <is>
          <t>GM</t>
        </is>
      </c>
      <c r="H34" s="2" t="inlineStr">
        <is>
          <t>박상원</t>
        </is>
      </c>
      <c r="I34" s="2" t="n"/>
      <c r="J34" s="2" t="n"/>
      <c r="K34" s="2" t="n"/>
      <c r="L34" s="3" t="inlineStr">
        <is>
          <t>대기</t>
        </is>
      </c>
      <c r="M34" s="6" t="n"/>
      <c r="N34" s="3" t="inlineStr">
        <is>
          <t>GM</t>
        </is>
      </c>
    </row>
    <row r="35">
      <c r="A35" s="3" t="n">
        <v>34</v>
      </c>
      <c r="B35" s="2" t="inlineStr">
        <is>
          <t>D2405</t>
        </is>
      </c>
      <c r="C35" s="2" t="inlineStr">
        <is>
          <t>인천검단 AA24BL 중흥S-클래스 색채 및 환경디자인</t>
        </is>
      </c>
      <c r="D35" s="2" t="inlineStr">
        <is>
          <t>[D2405] 심의2403~ / 기본2512~2602, 2610~ / 준공미정</t>
        </is>
      </c>
      <c r="E35" s="2" t="inlineStr">
        <is>
          <t>중흥건설</t>
        </is>
      </c>
      <c r="F35" s="2" t="inlineStr">
        <is>
          <t>중흥건설</t>
        </is>
      </c>
      <c r="G35" s="2" t="inlineStr">
        <is>
          <t>P2</t>
        </is>
      </c>
      <c r="H35" s="2" t="inlineStr">
        <is>
          <t>최은진</t>
        </is>
      </c>
      <c r="I35" s="2" t="n"/>
      <c r="J35" s="2" t="inlineStr">
        <is>
          <t>12개동</t>
        </is>
      </c>
      <c r="K35" s="2" t="n"/>
      <c r="L35" s="3" t="inlineStr">
        <is>
          <t>기본</t>
        </is>
      </c>
      <c r="M35" s="6" t="n">
        <v>4</v>
      </c>
      <c r="N35" s="3" t="n"/>
    </row>
    <row r="36">
      <c r="A36" s="3" t="n">
        <v>35</v>
      </c>
      <c r="B36" s="2" t="inlineStr">
        <is>
          <t>D2406</t>
        </is>
      </c>
      <c r="C36" s="2" t="inlineStr">
        <is>
          <t>신림2재정비촉진구역 주택재개발정비사업 환경색채/공용홀/사인디자인</t>
        </is>
      </c>
      <c r="D36" s="8" t="inlineStr">
        <is>
          <t>[D2406] 심의2404~10, 2501, 2503, 2508~10 / 분양2601~ / 준공미정</t>
        </is>
      </c>
      <c r="E36" s="2" t="inlineStr">
        <is>
          <t>롯데(50)대우(50)</t>
        </is>
      </c>
      <c r="F36" s="2" t="inlineStr">
        <is>
          <t>롯데건설/대우건설</t>
        </is>
      </c>
      <c r="G36" s="8" t="inlineStr">
        <is>
          <t>P1</t>
        </is>
      </c>
      <c r="H36" s="2" t="inlineStr">
        <is>
          <t>박제정</t>
        </is>
      </c>
      <c r="I36" s="2" t="n"/>
      <c r="J36" s="2" t="inlineStr">
        <is>
          <t>20개동 컨소</t>
        </is>
      </c>
      <c r="K36" s="2" t="n"/>
      <c r="L36" s="3" t="inlineStr">
        <is>
          <t>기획</t>
        </is>
      </c>
      <c r="M36" s="6" t="n">
        <v>5</v>
      </c>
      <c r="N36" s="3" t="n"/>
    </row>
    <row r="37">
      <c r="A37" s="3" t="n">
        <v>36</v>
      </c>
      <c r="B37" s="2" t="inlineStr">
        <is>
          <t>D2411</t>
        </is>
      </c>
      <c r="C37" s="8" t="inlineStr">
        <is>
          <t>상인천초교주변 재개발 익스테리어디자인용역</t>
        </is>
      </c>
      <c r="D37" s="8" t="inlineStr">
        <is>
          <t>[D2320] 심의2407~08, 2411~2503, 2506~09 / 분양2510~11 / 기본 2512~2605, 2607~10/ 준공미정</t>
        </is>
      </c>
      <c r="E37" s="2" t="inlineStr">
        <is>
          <t>한화건설</t>
        </is>
      </c>
      <c r="F37" s="2" t="inlineStr">
        <is>
          <t>한화건설</t>
        </is>
      </c>
      <c r="G37" s="2" t="inlineStr">
        <is>
          <t>P1</t>
        </is>
      </c>
      <c r="H37" s="2" t="inlineStr">
        <is>
          <t>박제정</t>
        </is>
      </c>
      <c r="I37" s="2" t="n"/>
      <c r="J37" s="2" t="inlineStr">
        <is>
          <t>24개동 컨소</t>
        </is>
      </c>
      <c r="K37" s="2" t="n"/>
      <c r="L37" s="3" t="inlineStr">
        <is>
          <t>기본</t>
        </is>
      </c>
      <c r="M37" s="3" t="n">
        <v>4</v>
      </c>
      <c r="N37" s="3" t="inlineStr">
        <is>
          <t>T2</t>
        </is>
      </c>
    </row>
    <row r="38">
      <c r="A38" s="3" t="n">
        <v>37</v>
      </c>
      <c r="B38" s="2" t="inlineStr">
        <is>
          <t>D2415</t>
        </is>
      </c>
      <c r="C38" s="8" t="inlineStr">
        <is>
          <t>청주 사모2구역 재개발 정비사업</t>
        </is>
      </c>
      <c r="D38" s="2" t="inlineStr">
        <is>
          <t>[D2415] 심의2407~10, 2501~02, 2512~2606 / 분양2606~09, 2610~ / 준공미정</t>
        </is>
      </c>
      <c r="E38" s="2" t="inlineStr">
        <is>
          <t>현대 대우 두산 한신</t>
        </is>
      </c>
      <c r="F38" s="2" t="inlineStr">
        <is>
          <t>현대 대우 두산 한신</t>
        </is>
      </c>
      <c r="G38" s="8" t="inlineStr">
        <is>
          <t>P1</t>
        </is>
      </c>
      <c r="H38" s="2" t="inlineStr">
        <is>
          <t>박제정</t>
        </is>
      </c>
      <c r="I38" s="2" t="n"/>
      <c r="J38" s="2" t="inlineStr">
        <is>
          <t>31개동 컨소</t>
        </is>
      </c>
      <c r="K38" s="2" t="n"/>
      <c r="L38" s="3" t="inlineStr">
        <is>
          <t>기획</t>
        </is>
      </c>
      <c r="M38" s="3" t="n">
        <v>5</v>
      </c>
      <c r="N38" s="3" t="n"/>
    </row>
    <row r="39">
      <c r="A39" s="3" t="n">
        <v>38</v>
      </c>
      <c r="B39" s="2" t="inlineStr">
        <is>
          <t>D2416(1)</t>
        </is>
      </c>
      <c r="C39" s="2" t="inlineStr">
        <is>
          <t>고양창릉 S-2, S-8BL 토탈디자인</t>
        </is>
      </c>
      <c r="D39" s="2" t="inlineStr">
        <is>
          <t>[D2416] 심의2410~12 / 기본2504~2507 / 실시2509~2603 / 준공미정</t>
        </is>
      </c>
      <c r="E39" s="2" t="inlineStr">
        <is>
          <t>토문건축</t>
        </is>
      </c>
      <c r="F39" s="2" t="inlineStr">
        <is>
          <t>LH</t>
        </is>
      </c>
      <c r="G39" s="2" t="inlineStr">
        <is>
          <t>P2</t>
        </is>
      </c>
      <c r="H39" s="2" t="inlineStr">
        <is>
          <t>최은진</t>
        </is>
      </c>
      <c r="I39" s="2" t="n"/>
      <c r="J39" s="2" t="inlineStr">
        <is>
          <t>36개동</t>
        </is>
      </c>
      <c r="K39" s="2" t="n"/>
      <c r="L39" s="3" t="inlineStr">
        <is>
          <t>현장지원</t>
        </is>
      </c>
      <c r="M39" s="6" t="n">
        <v>2</v>
      </c>
      <c r="N39" s="3" t="n"/>
    </row>
    <row r="40">
      <c r="A40" s="3" t="n">
        <v>39</v>
      </c>
      <c r="B40" s="2" t="inlineStr">
        <is>
          <t>D2420</t>
        </is>
      </c>
      <c r="C40" s="2" t="inlineStr">
        <is>
          <t>과천8,9단지 재건축정비사업 외관디자인</t>
        </is>
      </c>
      <c r="D40" s="2" t="inlineStr">
        <is>
          <t>[D2420] 심의2506~</t>
        </is>
      </c>
      <c r="E40" s="2" t="inlineStr">
        <is>
          <t>현대건설</t>
        </is>
      </c>
      <c r="F40" s="2" t="inlineStr">
        <is>
          <t>현대건설</t>
        </is>
      </c>
      <c r="G40" s="2" t="inlineStr">
        <is>
          <t>P2</t>
        </is>
      </c>
      <c r="H40" s="2" t="inlineStr">
        <is>
          <t>최은진</t>
        </is>
      </c>
      <c r="I40" s="2" t="n"/>
      <c r="J40" s="2" t="inlineStr">
        <is>
          <t>27개동</t>
        </is>
      </c>
      <c r="K40" s="2" t="n"/>
      <c r="L40" s="3" t="inlineStr">
        <is>
          <t>기획</t>
        </is>
      </c>
      <c r="M40" s="6" t="n">
        <v>5</v>
      </c>
      <c r="N40" s="3" t="inlineStr">
        <is>
          <t>디에이치 르블리스</t>
        </is>
      </c>
    </row>
    <row r="41">
      <c r="A41" s="3" t="n">
        <v>40</v>
      </c>
      <c r="B41" s="2" t="inlineStr">
        <is>
          <t>D2423</t>
        </is>
      </c>
      <c r="C41" s="2" t="inlineStr">
        <is>
          <t>순천 선월지구A1-2BL 외부환경특화</t>
        </is>
      </c>
      <c r="D41" s="2" t="inlineStr">
        <is>
          <t>[D2423] 심의2502~12, 2602~</t>
        </is>
      </c>
      <c r="E41" s="2" t="inlineStr">
        <is>
          <t>선월하이파크밸리</t>
        </is>
      </c>
      <c r="F41" s="2" t="inlineStr">
        <is>
          <t>중흥건설,대우건설</t>
        </is>
      </c>
      <c r="G41" s="8" t="inlineStr">
        <is>
          <t>P1</t>
        </is>
      </c>
      <c r="H41" s="2" t="inlineStr">
        <is>
          <t>박제정</t>
        </is>
      </c>
      <c r="I41" s="2" t="n"/>
      <c r="J41" s="2" t="inlineStr">
        <is>
          <t>8개동</t>
        </is>
      </c>
      <c r="K41" s="2" t="n"/>
      <c r="L41" s="3" t="inlineStr">
        <is>
          <t>기획</t>
        </is>
      </c>
      <c r="M41" s="6" t="n">
        <v>5</v>
      </c>
      <c r="N41" s="3" t="inlineStr">
        <is>
          <t>중흥건설(50%)+대우건설(50%)</t>
        </is>
      </c>
    </row>
    <row r="42">
      <c r="A42" s="3" t="n">
        <v>41</v>
      </c>
      <c r="B42" s="2" t="inlineStr">
        <is>
          <t>D2501</t>
        </is>
      </c>
      <c r="C42" s="2" t="inlineStr">
        <is>
          <t>부산 범일2구역 도시환경정비사업 환경색채디자인</t>
        </is>
      </c>
      <c r="D42" s="2" t="inlineStr">
        <is>
          <t>[D2501] 심의2506~10, 2603~07</t>
        </is>
      </c>
      <c r="E42" s="2" t="inlineStr">
        <is>
          <t>롯데건설</t>
        </is>
      </c>
      <c r="F42" s="2" t="inlineStr">
        <is>
          <t>롯데건설</t>
        </is>
      </c>
      <c r="G42" s="8" t="inlineStr">
        <is>
          <t>P1</t>
        </is>
      </c>
      <c r="H42" s="2" t="inlineStr">
        <is>
          <t>박제정</t>
        </is>
      </c>
      <c r="I42" s="2" t="n"/>
      <c r="J42" s="2" t="inlineStr">
        <is>
          <t>7개동, 오피스텔1개동</t>
        </is>
      </c>
      <c r="K42" s="2" t="n"/>
      <c r="L42" s="3" t="inlineStr">
        <is>
          <t>기획</t>
        </is>
      </c>
      <c r="M42" s="6" t="n">
        <v>5</v>
      </c>
      <c r="N42" s="3" t="n"/>
    </row>
    <row r="43">
      <c r="A43" s="3" t="n">
        <v>42</v>
      </c>
      <c r="B43" s="2" t="inlineStr">
        <is>
          <t>D2504</t>
        </is>
      </c>
      <c r="C43" s="2" t="inlineStr">
        <is>
          <t>KT성남지사 개발사업 외관디자인용역</t>
        </is>
      </c>
      <c r="D43" s="2" t="inlineStr">
        <is>
          <t>[D2504] 심의2503~2504 / 분양2605~</t>
        </is>
      </c>
      <c r="E43" s="2" t="inlineStr">
        <is>
          <t>마스턴</t>
        </is>
      </c>
      <c r="F43" s="2" t="inlineStr">
        <is>
          <t>현대엔지니어링</t>
        </is>
      </c>
      <c r="G43" s="8" t="inlineStr">
        <is>
          <t>P1</t>
        </is>
      </c>
      <c r="H43" s="2" t="inlineStr">
        <is>
          <t>박제정</t>
        </is>
      </c>
      <c r="I43" s="2" t="n"/>
      <c r="J43" s="2" t="inlineStr">
        <is>
          <t>2개동/상환경</t>
        </is>
      </c>
      <c r="K43" s="2" t="n"/>
      <c r="L43" s="3" t="inlineStr">
        <is>
          <t>기획</t>
        </is>
      </c>
      <c r="M43" s="6" t="n">
        <v>5</v>
      </c>
      <c r="N43" s="3" t="n"/>
    </row>
    <row r="44">
      <c r="A44" s="3" t="n">
        <v>43</v>
      </c>
      <c r="B44" s="2" t="inlineStr">
        <is>
          <t>D2508</t>
        </is>
      </c>
      <c r="C44" s="2" t="inlineStr">
        <is>
          <t>부천도당1-1구역 주택재개발정비사업 외관디자인</t>
        </is>
      </c>
      <c r="D44" s="2" t="inlineStr">
        <is>
          <t>[D2508] 심의2504~2510 / 준공미정</t>
        </is>
      </c>
      <c r="E44" s="2" t="inlineStr">
        <is>
          <t>현대건설</t>
        </is>
      </c>
      <c r="F44" s="2" t="inlineStr">
        <is>
          <t>현대건설</t>
        </is>
      </c>
      <c r="G44" s="2" t="inlineStr">
        <is>
          <t>P2</t>
        </is>
      </c>
      <c r="H44" s="2" t="inlineStr">
        <is>
          <t>최은진</t>
        </is>
      </c>
      <c r="I44" s="2" t="n"/>
      <c r="J44" s="2" t="n"/>
      <c r="K44" s="2" t="n"/>
      <c r="L44" s="3" t="inlineStr">
        <is>
          <t>대기</t>
        </is>
      </c>
      <c r="M44" s="3" t="n"/>
      <c r="N44" s="3" t="inlineStr">
        <is>
          <t>심의완료</t>
        </is>
      </c>
    </row>
    <row r="45">
      <c r="A45" s="3" t="n">
        <v>44</v>
      </c>
      <c r="B45" s="2" t="inlineStr">
        <is>
          <t>D2510</t>
        </is>
      </c>
      <c r="C45" s="2" t="inlineStr">
        <is>
          <t>대전도마변동3구역 주택재개발 외관,색채 통합 특화설계용역</t>
        </is>
      </c>
      <c r="D45" s="2" t="inlineStr">
        <is>
          <t>[D2510] 심의2507~ / 분양2605~</t>
        </is>
      </c>
      <c r="E45" s="2" t="inlineStr">
        <is>
          <t>GS건설</t>
        </is>
      </c>
      <c r="F45" s="2" t="inlineStr">
        <is>
          <t>GS외 2개사컨소</t>
        </is>
      </c>
      <c r="G45" s="2" t="inlineStr">
        <is>
          <t>TEAM,P3</t>
        </is>
      </c>
      <c r="H45" s="2" t="inlineStr">
        <is>
          <t>홍성은,김주경</t>
        </is>
      </c>
      <c r="I45" s="2" t="n"/>
      <c r="J45" s="2" t="n"/>
      <c r="K45" s="2" t="n"/>
      <c r="L45" s="3" t="inlineStr">
        <is>
          <t>기획</t>
        </is>
      </c>
      <c r="M45" s="3" t="n">
        <v>5</v>
      </c>
      <c r="N45" s="3" t="inlineStr">
        <is>
          <t>HONG,T2</t>
        </is>
      </c>
    </row>
    <row r="46">
      <c r="A46" s="3" t="n">
        <v>45</v>
      </c>
      <c r="B46" s="2" t="inlineStr">
        <is>
          <t>D2513</t>
        </is>
      </c>
      <c r="C46" s="2" t="inlineStr">
        <is>
          <t>대전 변동 주상복합 외관디자인</t>
        </is>
      </c>
      <c r="D46" s="2" t="inlineStr">
        <is>
          <t>[D2513] 심의2507~2510</t>
        </is>
      </c>
      <c r="E46" s="2" t="inlineStr">
        <is>
          <t>현대엔지니어링</t>
        </is>
      </c>
      <c r="F46" s="2" t="inlineStr">
        <is>
          <t>현대엔지니어링</t>
        </is>
      </c>
      <c r="G46" s="2" t="inlineStr">
        <is>
          <t>P1</t>
        </is>
      </c>
      <c r="H46" s="2" t="inlineStr">
        <is>
          <t>박제정</t>
        </is>
      </c>
      <c r="I46" s="2" t="n"/>
      <c r="J46" s="2" t="n"/>
      <c r="K46" s="2" t="n"/>
      <c r="L46" s="3" t="inlineStr">
        <is>
          <t>대기</t>
        </is>
      </c>
      <c r="M46" s="6" t="n"/>
      <c r="N46" s="3" t="n"/>
    </row>
    <row r="47">
      <c r="A47" s="3" t="n">
        <v>46</v>
      </c>
      <c r="B47" s="2" t="inlineStr">
        <is>
          <t>D2514</t>
        </is>
      </c>
      <c r="C47" s="2" t="inlineStr">
        <is>
          <t>구리 딸기원2지구 주택재개발정비사업 1,2단지 공동주택 신축공사 색채 및 환경디자인</t>
        </is>
      </c>
      <c r="D47" s="2" t="inlineStr">
        <is>
          <t>[D2514]분양2506/기본2609~</t>
        </is>
      </c>
      <c r="E47" s="2" t="inlineStr">
        <is>
          <t>중흥건설</t>
        </is>
      </c>
      <c r="F47" s="2" t="inlineStr">
        <is>
          <t>중흥건설</t>
        </is>
      </c>
      <c r="G47" s="2" t="inlineStr">
        <is>
          <t>P3</t>
        </is>
      </c>
      <c r="H47" s="2" t="inlineStr">
        <is>
          <t>김주경</t>
        </is>
      </c>
      <c r="I47" s="2" t="n"/>
      <c r="J47" s="2" t="n"/>
      <c r="K47" s="2" t="n"/>
      <c r="L47" s="3" t="inlineStr">
        <is>
          <t>대기</t>
        </is>
      </c>
      <c r="M47" s="6" t="n"/>
      <c r="N47" s="3" t="n"/>
    </row>
    <row r="48">
      <c r="A48" s="3" t="n">
        <v>47</v>
      </c>
      <c r="B48" s="2" t="inlineStr">
        <is>
          <t>D2515</t>
        </is>
      </c>
      <c r="C48" s="2" t="inlineStr">
        <is>
          <t>의정부 장암6구역 재개발정비사업 외부환경특화 및 커뮤니티 설계</t>
        </is>
      </c>
      <c r="D48" s="2" t="n"/>
      <c r="E48" s="2" t="inlineStr">
        <is>
          <t>태영건설</t>
        </is>
      </c>
      <c r="F48" s="2" t="inlineStr">
        <is>
          <t>태영건설</t>
        </is>
      </c>
      <c r="G48" s="2" t="inlineStr">
        <is>
          <t>TEAM</t>
        </is>
      </c>
      <c r="H48" s="2" t="inlineStr">
        <is>
          <t>양수정,홍대성</t>
        </is>
      </c>
      <c r="I48" s="2" t="n"/>
      <c r="J48" s="2" t="n"/>
      <c r="K48" s="2" t="n"/>
      <c r="L48" s="3" t="inlineStr">
        <is>
          <t>기획</t>
        </is>
      </c>
      <c r="M48" s="6" t="n">
        <v>5</v>
      </c>
      <c r="N48" s="3" t="n"/>
    </row>
    <row r="49">
      <c r="A49" s="3" t="n">
        <v>48</v>
      </c>
      <c r="B49" s="4" t="inlineStr">
        <is>
          <t>D2518</t>
        </is>
      </c>
      <c r="C49" s="2" t="inlineStr">
        <is>
          <t>파주새말APT 환경색채디자인 설계용역</t>
        </is>
      </c>
      <c r="D49" s="2" t="inlineStr">
        <is>
          <t>[D2518] 심의2508~11, 2602~03, 2605</t>
        </is>
      </c>
      <c r="E49" s="2" t="inlineStr">
        <is>
          <t>롯데/중흥/두산</t>
        </is>
      </c>
      <c r="F49" s="2" t="inlineStr">
        <is>
          <t>롯데/중흥/두산</t>
        </is>
      </c>
      <c r="G49" s="8" t="inlineStr">
        <is>
          <t>P1</t>
        </is>
      </c>
      <c r="H49" s="2" t="inlineStr">
        <is>
          <t>박제정</t>
        </is>
      </c>
      <c r="I49" s="2" t="n"/>
      <c r="J49" s="2" t="inlineStr">
        <is>
          <t>5개단지</t>
        </is>
      </c>
      <c r="K49" s="2" t="n"/>
      <c r="L49" s="3" t="inlineStr">
        <is>
          <t>기획</t>
        </is>
      </c>
      <c r="M49" s="3" t="n">
        <v>5</v>
      </c>
      <c r="N49" s="3" t="n"/>
    </row>
    <row r="50">
      <c r="A50" s="3" t="n">
        <v>49</v>
      </c>
      <c r="B50" s="2" t="inlineStr">
        <is>
          <t>D2519</t>
        </is>
      </c>
      <c r="C50" s="2" t="inlineStr">
        <is>
          <t>성남중2구역 도시환경정비사업 외관디자인</t>
        </is>
      </c>
      <c r="D50" s="2" t="inlineStr">
        <is>
          <t>[D2519] 심의2509~2510, 2603~ / 준공미정</t>
        </is>
      </c>
      <c r="E50" s="2" t="inlineStr">
        <is>
          <t>현대건설</t>
        </is>
      </c>
      <c r="F50" s="2" t="inlineStr">
        <is>
          <t>현대건설</t>
        </is>
      </c>
      <c r="G50" s="2" t="inlineStr">
        <is>
          <t>P2</t>
        </is>
      </c>
      <c r="H50" s="2" t="inlineStr">
        <is>
          <t>최은진</t>
        </is>
      </c>
      <c r="I50" s="2" t="n"/>
      <c r="J50" s="2" t="n"/>
      <c r="K50" s="2" t="n"/>
      <c r="L50" s="3" t="inlineStr">
        <is>
          <t>기획</t>
        </is>
      </c>
      <c r="M50" s="6" t="n">
        <v>5</v>
      </c>
      <c r="N50" s="3" t="n"/>
    </row>
    <row r="51">
      <c r="A51" s="3" t="n">
        <v>50</v>
      </c>
      <c r="B51" s="4" t="inlineStr">
        <is>
          <t>D2520</t>
        </is>
      </c>
      <c r="C51" s="5" t="inlineStr">
        <is>
          <t>공공주택 조경 안내시설물 디자인 개발용역</t>
        </is>
      </c>
      <c r="D51" s="2" t="inlineStr">
        <is>
          <t>[D2520] 납품2609</t>
        </is>
      </c>
      <c r="E51" s="2" t="inlineStr">
        <is>
          <t>LH</t>
        </is>
      </c>
      <c r="F51" s="2" t="inlineStr">
        <is>
          <t>LH</t>
        </is>
      </c>
      <c r="G51" s="2" t="inlineStr">
        <is>
          <t>GM</t>
        </is>
      </c>
      <c r="H51" s="2" t="inlineStr">
        <is>
          <t>박상원</t>
        </is>
      </c>
      <c r="I51" s="2" t="n"/>
      <c r="J51" s="2" t="n"/>
      <c r="K51" s="2" t="n"/>
      <c r="L51" s="3" t="inlineStr">
        <is>
          <t>기획</t>
        </is>
      </c>
      <c r="M51" s="3" t="n">
        <v>5</v>
      </c>
      <c r="N51" s="3" t="n"/>
    </row>
    <row r="52">
      <c r="A52" s="3" t="n">
        <v>51</v>
      </c>
      <c r="B52" s="2" t="inlineStr">
        <is>
          <t>D2522</t>
        </is>
      </c>
      <c r="C52" s="2" t="inlineStr">
        <is>
          <t>신길1재정비촉진구역 공공재개발사업 외관디자인(실시단계)</t>
        </is>
      </c>
      <c r="D52" s="2" t="inlineStr">
        <is>
          <t>[D2522] 심의2609~</t>
        </is>
      </c>
      <c r="E52" s="2" t="inlineStr">
        <is>
          <t>행림건축</t>
        </is>
      </c>
      <c r="F52" s="2" t="inlineStr">
        <is>
          <t>현대건설</t>
        </is>
      </c>
      <c r="G52" s="2" t="inlineStr">
        <is>
          <t>P1</t>
        </is>
      </c>
      <c r="H52" s="2" t="inlineStr">
        <is>
          <t>박제정</t>
        </is>
      </c>
      <c r="I52" s="2" t="n"/>
      <c r="J52" s="2" t="n"/>
      <c r="K52" s="2" t="n"/>
      <c r="L52" s="3" t="inlineStr">
        <is>
          <t>기획</t>
        </is>
      </c>
      <c r="M52" s="3" t="n">
        <v>5</v>
      </c>
      <c r="N52" s="3" t="n"/>
    </row>
    <row r="53">
      <c r="A53" s="3" t="n">
        <v>52</v>
      </c>
      <c r="B53" s="4" t="inlineStr">
        <is>
          <t>D2524</t>
        </is>
      </c>
      <c r="C53" s="2" t="inlineStr">
        <is>
          <t>신반포2차아파트 재건축정비사업 외관디자인</t>
        </is>
      </c>
      <c r="D53" s="2" t="inlineStr">
        <is>
          <t>심의2604 / 기본2605~</t>
        </is>
      </c>
      <c r="E53" s="2" t="inlineStr">
        <is>
          <t>현대건설</t>
        </is>
      </c>
      <c r="F53" s="2" t="inlineStr">
        <is>
          <t>현대건설</t>
        </is>
      </c>
      <c r="G53" s="2" t="inlineStr">
        <is>
          <t>GM,P2</t>
        </is>
      </c>
      <c r="H53" s="2" t="inlineStr">
        <is>
          <t>박상원</t>
        </is>
      </c>
      <c r="I53" s="2" t="n"/>
      <c r="J53" s="2" t="n"/>
      <c r="K53" s="2" t="n"/>
      <c r="L53" s="3" t="inlineStr">
        <is>
          <t>기획</t>
        </is>
      </c>
      <c r="M53" s="3" t="n"/>
      <c r="N53" s="3" t="n"/>
    </row>
    <row r="54">
      <c r="A54" s="3" t="n">
        <v>53</v>
      </c>
      <c r="B54" s="4" t="inlineStr">
        <is>
          <t>D2525</t>
        </is>
      </c>
      <c r="C54" s="2" t="inlineStr">
        <is>
          <t>양주장흥 A2BL,A3BL 공동주택 설계용역 인테리어 및 익스테리어</t>
        </is>
      </c>
      <c r="D54" s="2" t="inlineStr">
        <is>
          <t>[D2525]</t>
        </is>
      </c>
      <c r="E54" s="2" t="inlineStr">
        <is>
          <t>해안건축</t>
        </is>
      </c>
      <c r="F54" s="2" t="inlineStr">
        <is>
          <t>해안건축</t>
        </is>
      </c>
      <c r="G54" s="8" t="inlineStr">
        <is>
          <t>P1</t>
        </is>
      </c>
      <c r="H54" s="2" t="inlineStr">
        <is>
          <t>박제정</t>
        </is>
      </c>
      <c r="I54" s="2" t="n"/>
      <c r="J54" s="2" t="n"/>
      <c r="K54" s="2" t="n"/>
      <c r="L54" s="3" t="inlineStr">
        <is>
          <t>대기</t>
        </is>
      </c>
      <c r="M54" s="3" t="n"/>
      <c r="N54" s="3" t="n"/>
    </row>
    <row r="55">
      <c r="A55" s="3" t="n">
        <v>54</v>
      </c>
      <c r="B55" s="4" t="inlineStr">
        <is>
          <t>D2526</t>
        </is>
      </c>
      <c r="C55" s="2" t="inlineStr">
        <is>
          <t>중화3구역 라온프라이빗 외부색채디자인</t>
        </is>
      </c>
      <c r="D55" s="2" t="inlineStr">
        <is>
          <t>[D2526] 대기</t>
        </is>
      </c>
      <c r="E55" s="2" t="inlineStr">
        <is>
          <t>라온건설</t>
        </is>
      </c>
      <c r="F55" s="2" t="inlineStr">
        <is>
          <t>라온건설</t>
        </is>
      </c>
      <c r="G55" s="2" t="inlineStr">
        <is>
          <t>P3</t>
        </is>
      </c>
      <c r="H55" s="2" t="inlineStr">
        <is>
          <t>김주경</t>
        </is>
      </c>
      <c r="I55" s="2" t="n"/>
      <c r="J55" s="2" t="n"/>
      <c r="K55" s="2" t="n"/>
      <c r="L55" s="3" t="inlineStr">
        <is>
          <t>대기</t>
        </is>
      </c>
      <c r="M55" s="3" t="n"/>
      <c r="N55" s="3" t="n"/>
    </row>
    <row r="56">
      <c r="A56" s="3" t="n">
        <v>55</v>
      </c>
      <c r="B56" s="4" t="inlineStr">
        <is>
          <t>D2527</t>
        </is>
      </c>
      <c r="C56" s="2" t="inlineStr">
        <is>
          <t>가락삼익 재건축정비사업 외관디자인(현상설계)</t>
        </is>
      </c>
      <c r="D56" s="2" t="inlineStr">
        <is>
          <t>[D2527] 심의2512~06, 2608~</t>
        </is>
      </c>
      <c r="E56" s="2" t="inlineStr">
        <is>
          <t>현대건설</t>
        </is>
      </c>
      <c r="F56" s="2" t="inlineStr">
        <is>
          <t>현대건설</t>
        </is>
      </c>
      <c r="G56" s="8" t="inlineStr">
        <is>
          <t>P1</t>
        </is>
      </c>
      <c r="H56" s="2" t="inlineStr">
        <is>
          <t>박제정</t>
        </is>
      </c>
      <c r="I56" s="2" t="n"/>
      <c r="J56" s="2" t="n"/>
      <c r="K56" s="2" t="n"/>
      <c r="L56" s="3" t="inlineStr">
        <is>
          <t>기획</t>
        </is>
      </c>
      <c r="M56" s="3" t="n">
        <v>5</v>
      </c>
      <c r="N56" s="3" t="n"/>
    </row>
    <row r="57">
      <c r="A57" s="3" t="n">
        <v>56</v>
      </c>
      <c r="B57" s="4" t="inlineStr">
        <is>
          <t>D2528</t>
        </is>
      </c>
      <c r="C57" s="2" t="inlineStr">
        <is>
          <t>남양주 덕소재정비촉진지구 덕소1-1구역 공동주택 외부환경 특화설계 용역</t>
        </is>
      </c>
      <c r="D57" s="2" t="inlineStr">
        <is>
          <t>[D2528] 심의2601~10</t>
        </is>
      </c>
      <c r="E57" s="2" t="inlineStr">
        <is>
          <t>에이치엠</t>
        </is>
      </c>
      <c r="F57" s="2" t="inlineStr">
        <is>
          <t>에이치엠</t>
        </is>
      </c>
      <c r="G57" s="2" t="inlineStr">
        <is>
          <t>P3</t>
        </is>
      </c>
      <c r="H57" s="2" t="inlineStr">
        <is>
          <t>김주경</t>
        </is>
      </c>
      <c r="I57" s="2" t="n"/>
      <c r="J57" s="2" t="n"/>
      <c r="K57" s="2" t="n"/>
      <c r="L57" s="3" t="inlineStr">
        <is>
          <t>기획</t>
        </is>
      </c>
      <c r="M57" s="3" t="n">
        <v>5</v>
      </c>
      <c r="N57" s="3" t="n"/>
    </row>
    <row r="58">
      <c r="A58" s="3" t="n">
        <v>57</v>
      </c>
      <c r="B58" s="4" t="inlineStr">
        <is>
          <t>D2529</t>
        </is>
      </c>
      <c r="C58" s="2" t="inlineStr">
        <is>
          <t>남양주 덕소재정비촉진지구 덕소1-1구역 공동주택 커뮤니티설계</t>
        </is>
      </c>
      <c r="D58" s="2" t="inlineStr">
        <is>
          <t>[D2528] 심의2601~10</t>
        </is>
      </c>
      <c r="E58" s="2" t="inlineStr">
        <is>
          <t>에이치엠</t>
        </is>
      </c>
      <c r="F58" s="2" t="inlineStr">
        <is>
          <t>에이치엠</t>
        </is>
      </c>
      <c r="G58" s="2" t="inlineStr">
        <is>
          <t>P3</t>
        </is>
      </c>
      <c r="H58" s="2" t="inlineStr">
        <is>
          <t>김주경</t>
        </is>
      </c>
      <c r="I58" s="2" t="n"/>
      <c r="J58" s="2" t="n"/>
      <c r="K58" s="2" t="n"/>
      <c r="L58" s="3" t="inlineStr">
        <is>
          <t>대기</t>
        </is>
      </c>
      <c r="M58" s="3" t="n"/>
      <c r="N58" s="3" t="n"/>
    </row>
    <row r="59">
      <c r="A59" s="3" t="n">
        <v>58</v>
      </c>
      <c r="B59" s="4" t="inlineStr">
        <is>
          <t>D2601</t>
        </is>
      </c>
      <c r="C59" s="2" t="inlineStr">
        <is>
          <t>방배역세권 장기전세주택 익스테리어 디자인</t>
        </is>
      </c>
      <c r="D59" s="2" t="inlineStr">
        <is>
          <t>[D2601] 심의2602~</t>
        </is>
      </c>
      <c r="E59" s="2" t="inlineStr">
        <is>
          <t>방배역세권PFV</t>
        </is>
      </c>
      <c r="F59" s="2" t="inlineStr">
        <is>
          <t>현대건설</t>
        </is>
      </c>
      <c r="G59" s="2" t="inlineStr">
        <is>
          <t>TEAM</t>
        </is>
      </c>
      <c r="H59" s="2" t="inlineStr">
        <is>
          <t>홍성은</t>
        </is>
      </c>
      <c r="I59" s="2" t="n"/>
      <c r="J59" s="2" t="n"/>
      <c r="K59" s="2" t="n"/>
      <c r="L59" s="3" t="inlineStr">
        <is>
          <t>기획</t>
        </is>
      </c>
      <c r="M59" s="3" t="n">
        <v>5</v>
      </c>
      <c r="N59" s="3" t="n"/>
    </row>
    <row r="60">
      <c r="A60" s="3" t="n">
        <v>59</v>
      </c>
      <c r="B60" s="2" t="inlineStr">
        <is>
          <t>D2602</t>
        </is>
      </c>
      <c r="C60" s="2" t="inlineStr">
        <is>
          <t>영동빌라 재건축 외부환경 특화디자인</t>
        </is>
      </c>
      <c r="D60" s="2" t="inlineStr">
        <is>
          <t>[D2602] 기본2604~05 / 실시 2607~08</t>
        </is>
      </c>
      <c r="E60" s="2" t="inlineStr">
        <is>
          <t>큰빛종합건설</t>
        </is>
      </c>
      <c r="F60" s="2" t="inlineStr">
        <is>
          <t>큰빛종합건설</t>
        </is>
      </c>
      <c r="G60" s="8" t="inlineStr">
        <is>
          <t>P1</t>
        </is>
      </c>
      <c r="H60" s="2" t="inlineStr">
        <is>
          <t>박제정</t>
        </is>
      </c>
      <c r="I60" s="2" t="n"/>
      <c r="J60" s="2" t="inlineStr">
        <is>
          <t>1개동</t>
        </is>
      </c>
      <c r="K60" s="2" t="n"/>
      <c r="L60" s="3" t="inlineStr">
        <is>
          <t>대기</t>
        </is>
      </c>
      <c r="M60" s="3" t="n"/>
      <c r="N60" s="3" t="n"/>
    </row>
    <row r="61">
      <c r="A61" s="3" t="n">
        <v>60</v>
      </c>
      <c r="B61" s="2" t="inlineStr">
        <is>
          <t>D2604</t>
        </is>
      </c>
      <c r="C61" s="2" t="inlineStr">
        <is>
          <t>서울 도봉 01BL 민간참여 공공주택건설 외관특화설계</t>
        </is>
      </c>
      <c r="D61" s="2" t="inlineStr">
        <is>
          <t>[D2604] 심의2607~ / 준공미정</t>
        </is>
      </c>
      <c r="E61" s="2" t="inlineStr">
        <is>
          <t>해안건축</t>
        </is>
      </c>
      <c r="F61" s="2" t="inlineStr">
        <is>
          <t>현대건설</t>
        </is>
      </c>
      <c r="G61" s="2" t="inlineStr">
        <is>
          <t>P2</t>
        </is>
      </c>
      <c r="H61" s="2" t="inlineStr">
        <is>
          <t>최은진</t>
        </is>
      </c>
      <c r="I61" s="2" t="n"/>
      <c r="J61" s="2" t="n"/>
      <c r="K61" s="2" t="n"/>
      <c r="L61" s="3" t="inlineStr">
        <is>
          <t>기획</t>
        </is>
      </c>
      <c r="M61" s="3" t="n">
        <v>5</v>
      </c>
      <c r="N61" s="3" t="n"/>
    </row>
    <row r="62">
      <c r="A62" s="3" t="n">
        <v>61</v>
      </c>
      <c r="B62" s="4" t="inlineStr">
        <is>
          <t>D2605</t>
        </is>
      </c>
      <c r="C62" s="2" t="inlineStr">
        <is>
          <t>신반포12차 재건축정비사업 환경색채디자인</t>
        </is>
      </c>
      <c r="D62" s="2" t="inlineStr">
        <is>
          <t>[D2605] 심의2607~ / 준공미정</t>
        </is>
      </c>
      <c r="E62" s="2" t="inlineStr">
        <is>
          <t>롯데건설</t>
        </is>
      </c>
      <c r="F62" s="2" t="inlineStr">
        <is>
          <t>롯데건설</t>
        </is>
      </c>
      <c r="G62" s="2" t="inlineStr">
        <is>
          <t>P2</t>
        </is>
      </c>
      <c r="H62" s="2" t="inlineStr">
        <is>
          <t>최은진</t>
        </is>
      </c>
      <c r="I62" s="2" t="n"/>
      <c r="J62" s="2" t="n"/>
      <c r="K62" s="2" t="n"/>
      <c r="L62" s="3" t="inlineStr">
        <is>
          <t>기획</t>
        </is>
      </c>
      <c r="M62" s="3" t="n">
        <v>5</v>
      </c>
      <c r="N62" s="3" t="n"/>
    </row>
    <row r="63">
      <c r="A63" s="3" t="n">
        <v>62</v>
      </c>
      <c r="B63" s="15" t="inlineStr">
        <is>
          <t>D2606</t>
        </is>
      </c>
      <c r="C63" s="15" t="inlineStr">
        <is>
          <t>방화3재정비촉진구역 재건축정비사업 외관디자인</t>
        </is>
      </c>
      <c r="D63" s="2" t="inlineStr">
        <is>
          <t>[D2606] 심의2610~</t>
        </is>
      </c>
      <c r="E63" s="2" t="inlineStr">
        <is>
          <t>현대엔지니어링</t>
        </is>
      </c>
      <c r="F63" s="2" t="inlineStr">
        <is>
          <t>현대엔지니어링</t>
        </is>
      </c>
      <c r="G63" s="2" t="inlineStr">
        <is>
          <t>P1</t>
        </is>
      </c>
      <c r="H63" s="2" t="inlineStr">
        <is>
          <t>박제정</t>
        </is>
      </c>
      <c r="I63" s="2" t="n"/>
      <c r="J63" s="2" t="n"/>
      <c r="K63" s="2" t="n"/>
      <c r="L63" s="3" t="inlineStr">
        <is>
          <t>기획</t>
        </is>
      </c>
      <c r="M63" s="3" t="n">
        <v>5</v>
      </c>
      <c r="N63" s="3" t="n"/>
    </row>
    <row r="64">
      <c r="A64" s="3" t="n">
        <v>63</v>
      </c>
      <c r="B64" s="2" t="inlineStr">
        <is>
          <t>D2608</t>
        </is>
      </c>
      <c r="C64" s="2" t="inlineStr">
        <is>
          <t>해운대구 우동 874번지일원 주상복합 특화디자인 및 경관심의</t>
        </is>
      </c>
      <c r="D64" s="2" t="inlineStr">
        <is>
          <t>[D2608] 심의2605~08, 2610</t>
        </is>
      </c>
      <c r="E64" s="2" t="inlineStr">
        <is>
          <t>더케이디180</t>
        </is>
      </c>
      <c r="F64" s="2" t="inlineStr">
        <is>
          <t>미정</t>
        </is>
      </c>
      <c r="G64" s="8" t="inlineStr">
        <is>
          <t>P1</t>
        </is>
      </c>
      <c r="H64" s="2" t="inlineStr">
        <is>
          <t>박제정</t>
        </is>
      </c>
      <c r="I64" s="2" t="n"/>
      <c r="J64" s="2" t="inlineStr">
        <is>
          <t>2개동/상환경</t>
        </is>
      </c>
      <c r="K64" s="2" t="n"/>
      <c r="L64" s="3" t="inlineStr">
        <is>
          <t>기획</t>
        </is>
      </c>
      <c r="M64" s="3" t="n">
        <v>5</v>
      </c>
      <c r="N64" s="3" t="n"/>
    </row>
    <row r="65">
      <c r="A65" s="3" t="n">
        <v>64</v>
      </c>
      <c r="B65" s="4" t="inlineStr">
        <is>
          <t>D2609</t>
        </is>
      </c>
      <c r="C65" s="2" t="inlineStr">
        <is>
          <t>진주 판문지구 레이크써밋 웰가 외부특화,커뮤니티 용역</t>
        </is>
      </c>
      <c r="D65" s="2" t="inlineStr">
        <is>
          <t>[D2609] 심의2605~07 / 분양 2607~08</t>
        </is>
      </c>
      <c r="E65" s="2" t="inlineStr">
        <is>
          <t>익상</t>
        </is>
      </c>
      <c r="F65" s="2" t="inlineStr">
        <is>
          <t>흥한건설</t>
        </is>
      </c>
      <c r="G65" s="2" t="inlineStr">
        <is>
          <t>TEAM,P1</t>
        </is>
      </c>
      <c r="H65" s="2" t="inlineStr">
        <is>
          <t>홍성은,박제정</t>
        </is>
      </c>
      <c r="I65" s="2" t="n"/>
      <c r="J65" s="2" t="n"/>
      <c r="K65" s="2" t="n"/>
      <c r="L65" s="3" t="inlineStr">
        <is>
          <t>기획</t>
        </is>
      </c>
      <c r="M65" s="3" t="n">
        <v>5</v>
      </c>
      <c r="N65" s="3" t="n"/>
    </row>
    <row r="66">
      <c r="A66" s="3" t="n">
        <v>65</v>
      </c>
      <c r="B66" s="19" t="inlineStr">
        <is>
          <t>D2610(2)</t>
        </is>
      </c>
      <c r="C66" s="5" t="inlineStr">
        <is>
          <t>성남복정 B2BL 공동주택 외관디자인(실시단계)</t>
        </is>
      </c>
      <c r="D66" s="2" t="inlineStr">
        <is>
          <t>[D2610] 심의2605~</t>
        </is>
      </c>
      <c r="E66" s="2" t="inlineStr">
        <is>
          <t>한신공영</t>
        </is>
      </c>
      <c r="F66" s="2" t="inlineStr">
        <is>
          <t>한신공영</t>
        </is>
      </c>
      <c r="G66" s="2" t="inlineStr">
        <is>
          <t>TEAM</t>
        </is>
      </c>
      <c r="H66" s="2" t="inlineStr">
        <is>
          <t>홍성은</t>
        </is>
      </c>
      <c r="I66" s="2" t="n"/>
      <c r="J66" s="2" t="n"/>
      <c r="K66" s="2" t="n"/>
      <c r="L66" s="3" t="inlineStr">
        <is>
          <t>기획</t>
        </is>
      </c>
      <c r="M66" s="3" t="n">
        <v>5</v>
      </c>
      <c r="N66" s="2" t="n"/>
    </row>
    <row r="67">
      <c r="A67" s="3" t="n">
        <v>66</v>
      </c>
      <c r="B67" s="19" t="inlineStr">
        <is>
          <t>D2611(2)</t>
        </is>
      </c>
      <c r="C67" s="5" t="inlineStr">
        <is>
          <t>안산장상 A10BL 공동주택 외관디자인(실시단계)</t>
        </is>
      </c>
      <c r="D67" s="2" t="inlineStr">
        <is>
          <t>[D2611] 심의2605~</t>
        </is>
      </c>
      <c r="E67" s="2" t="inlineStr">
        <is>
          <t>한신공영</t>
        </is>
      </c>
      <c r="F67" s="2" t="inlineStr">
        <is>
          <t>한신공영</t>
        </is>
      </c>
      <c r="G67" s="2" t="inlineStr">
        <is>
          <t>TEAM</t>
        </is>
      </c>
      <c r="H67" s="2" t="inlineStr">
        <is>
          <t>양수정</t>
        </is>
      </c>
      <c r="I67" s="2" t="n"/>
      <c r="J67" s="2" t="n"/>
      <c r="K67" s="2" t="n"/>
      <c r="L67" s="3" t="inlineStr">
        <is>
          <t>기획</t>
        </is>
      </c>
      <c r="M67" s="3" t="n">
        <v>5</v>
      </c>
      <c r="N67" s="2" t="n"/>
    </row>
    <row r="68">
      <c r="A68" s="3" t="n">
        <v>67</v>
      </c>
      <c r="B68" s="19" t="n">
        <v>2613</v>
      </c>
      <c r="C68" s="2" t="inlineStr">
        <is>
          <t>명장1차,명장2차,시흥동 가로주택 정비사업 외부환경 특화설계 용역</t>
        </is>
      </c>
      <c r="D68" s="2" t="inlineStr">
        <is>
          <t>[D2613]</t>
        </is>
      </c>
      <c r="E68" s="2" t="inlineStr">
        <is>
          <t>진흥기업</t>
        </is>
      </c>
      <c r="F68" s="2" t="inlineStr">
        <is>
          <t>진흥기업</t>
        </is>
      </c>
      <c r="G68" s="2" t="inlineStr">
        <is>
          <t>GM,P1</t>
        </is>
      </c>
      <c r="H68" s="2" t="inlineStr">
        <is>
          <t>박상원,박제정</t>
        </is>
      </c>
      <c r="I68" s="2" t="n"/>
      <c r="J68" s="2" t="n"/>
      <c r="K68" s="2" t="n"/>
      <c r="L68" s="3" t="inlineStr">
        <is>
          <t>기획</t>
        </is>
      </c>
      <c r="M68" s="3" t="n">
        <v>5</v>
      </c>
      <c r="N68" s="2" t="inlineStr">
        <is>
          <t>외주예정</t>
        </is>
      </c>
    </row>
    <row r="69">
      <c r="A69" s="3" t="n">
        <v>68</v>
      </c>
      <c r="B69" s="20" t="n">
        <v>2614</v>
      </c>
      <c r="C69" s="15" t="inlineStr">
        <is>
          <t>창원 가음2구역 재건축 정비사업 외부환경특화설계</t>
        </is>
      </c>
      <c r="D69" s="2" t="inlineStr">
        <is>
          <t>[D2614]</t>
        </is>
      </c>
      <c r="E69" s="2" t="inlineStr">
        <is>
          <t>태영건설</t>
        </is>
      </c>
      <c r="F69" s="2" t="inlineStr">
        <is>
          <t>태영건설</t>
        </is>
      </c>
      <c r="G69" s="2" t="inlineStr">
        <is>
          <t>TEAM,P1</t>
        </is>
      </c>
      <c r="H69" s="2" t="inlineStr">
        <is>
          <t>양수정,박제정</t>
        </is>
      </c>
      <c r="I69" s="2" t="n"/>
      <c r="J69" s="2" t="n"/>
      <c r="K69" s="2" t="n"/>
      <c r="L69" s="3" t="inlineStr">
        <is>
          <t>기획</t>
        </is>
      </c>
      <c r="M69" s="3" t="n">
        <v>5</v>
      </c>
      <c r="N69" s="2" t="n"/>
    </row>
    <row r="70">
      <c r="A70" s="3" t="n">
        <v>69</v>
      </c>
      <c r="B70" s="19" t="inlineStr">
        <is>
          <t>D2615</t>
        </is>
      </c>
      <c r="C70" s="2" t="inlineStr">
        <is>
          <t>군포산본 9-2구역 공공재건축 외관디자인(입찰설계)</t>
        </is>
      </c>
      <c r="D70" s="2" t="inlineStr">
        <is>
          <t>[D2615]</t>
        </is>
      </c>
      <c r="E70" s="2" t="inlineStr">
        <is>
          <t>나우동인건축</t>
        </is>
      </c>
      <c r="F70" s="2" t="inlineStr">
        <is>
          <t>대우건설</t>
        </is>
      </c>
      <c r="G70" s="2" t="inlineStr">
        <is>
          <t>GM,P1</t>
        </is>
      </c>
      <c r="H70" s="2" t="inlineStr">
        <is>
          <t>박상원,박제정</t>
        </is>
      </c>
      <c r="I70" s="2" t="n"/>
      <c r="J70" s="2" t="n"/>
      <c r="K70" s="2" t="n"/>
      <c r="L70" s="3" t="inlineStr">
        <is>
          <t>기획</t>
        </is>
      </c>
      <c r="M70" s="3" t="n">
        <v>5</v>
      </c>
      <c r="N70" s="2" t="n"/>
    </row>
    <row r="71">
      <c r="A71" s="3" t="n">
        <v>70</v>
      </c>
      <c r="B71" s="19" t="inlineStr">
        <is>
          <t>D2616</t>
        </is>
      </c>
      <c r="C71" s="2" t="inlineStr">
        <is>
          <t>군포산본 9-2구역 공공재건축 외관디자인(실시단계)</t>
        </is>
      </c>
      <c r="D71" s="2" t="inlineStr">
        <is>
          <t>[D2616]</t>
        </is>
      </c>
      <c r="E71" s="2" t="inlineStr">
        <is>
          <t>나우동인건축</t>
        </is>
      </c>
      <c r="F71" s="2" t="inlineStr">
        <is>
          <t>대우건설</t>
        </is>
      </c>
      <c r="G71" s="2" t="inlineStr">
        <is>
          <t>GM</t>
        </is>
      </c>
      <c r="H71" s="2" t="inlineStr">
        <is>
          <t>박상원</t>
        </is>
      </c>
      <c r="I71" s="2" t="n"/>
      <c r="J71" s="2" t="n"/>
      <c r="K71" s="2" t="n"/>
      <c r="L71" s="3" t="inlineStr">
        <is>
          <t>기획</t>
        </is>
      </c>
      <c r="M71" s="3" t="n">
        <v>5</v>
      </c>
      <c r="N71" s="2" t="n"/>
    </row>
    <row r="72">
      <c r="A72" s="3" t="n">
        <v>71</v>
      </c>
      <c r="B72" s="19" t="n">
        <v>2617</v>
      </c>
      <c r="C72" s="2" t="inlineStr">
        <is>
          <t>서울 창2동 주민센터 인근 도심복합사업 토탈디자인</t>
        </is>
      </c>
      <c r="D72" s="2" t="inlineStr">
        <is>
          <t>[D2617]</t>
        </is>
      </c>
      <c r="E72" s="2" t="inlineStr">
        <is>
          <t>강남종합건축</t>
        </is>
      </c>
      <c r="F72" s="2" t="inlineStr">
        <is>
          <t>두산건설</t>
        </is>
      </c>
      <c r="G72" s="2" t="inlineStr">
        <is>
          <t>TEAM,P2</t>
        </is>
      </c>
      <c r="H72" s="2" t="inlineStr">
        <is>
          <t>홍성은,최은진</t>
        </is>
      </c>
      <c r="I72" s="2" t="n"/>
      <c r="J72" s="2" t="n"/>
      <c r="K72" s="2" t="n"/>
      <c r="L72" s="3" t="inlineStr">
        <is>
          <t>기획</t>
        </is>
      </c>
      <c r="M72" s="3" t="n">
        <v>5</v>
      </c>
      <c r="N72" s="2" t="n"/>
    </row>
    <row r="73">
      <c r="A73" s="3" t="n">
        <v>72</v>
      </c>
      <c r="B73" s="19" t="n">
        <v>2618</v>
      </c>
      <c r="C73" s="2" t="inlineStr">
        <is>
          <t>서울 창2동 주민센터 인근 도심복합사업 토탈디자인</t>
        </is>
      </c>
      <c r="D73" s="2" t="inlineStr">
        <is>
          <t xml:space="preserve">[D2618] </t>
        </is>
      </c>
      <c r="E73" s="2" t="inlineStr">
        <is>
          <t>강남종합건축</t>
        </is>
      </c>
      <c r="F73" s="2" t="inlineStr">
        <is>
          <t>두산건설</t>
        </is>
      </c>
      <c r="G73" s="2" t="inlineStr">
        <is>
          <t>TEAM,P2</t>
        </is>
      </c>
      <c r="H73" s="2" t="inlineStr">
        <is>
          <t>홍성은,최은진</t>
        </is>
      </c>
      <c r="I73" s="2" t="n"/>
      <c r="J73" s="2" t="n"/>
      <c r="K73" s="2" t="n"/>
      <c r="L73" s="3" t="inlineStr">
        <is>
          <t>기획</t>
        </is>
      </c>
      <c r="M73" s="3" t="n">
        <v>5</v>
      </c>
      <c r="N73" s="2" t="n"/>
    </row>
    <row r="74" s="18">
      <c r="A74" s="3" t="n">
        <v>73</v>
      </c>
      <c r="B74" s="15" t="inlineStr">
        <is>
          <t>D2619</t>
        </is>
      </c>
      <c r="C74" s="15" t="inlineStr">
        <is>
          <t>인천 검암플라시아 S1BL 공동주택 색채,환경디자인 기본설계 및 실시설계용역</t>
        </is>
      </c>
      <c r="D74" s="2" t="inlineStr">
        <is>
          <t>[D2619]</t>
        </is>
      </c>
      <c r="E74" s="2" t="inlineStr">
        <is>
          <t>중흥건설</t>
        </is>
      </c>
      <c r="F74" s="2" t="inlineStr">
        <is>
          <t>중흥건설</t>
        </is>
      </c>
      <c r="G74" s="2" t="n"/>
      <c r="H74" s="2" t="n"/>
      <c r="I74" s="2" t="n"/>
      <c r="J74" s="2" t="n"/>
      <c r="K74" s="2" t="n"/>
      <c r="L74" s="3" t="inlineStr">
        <is>
          <t>기획</t>
        </is>
      </c>
      <c r="M74" s="3" t="n">
        <v>5</v>
      </c>
      <c r="N74" s="2" t="n"/>
    </row>
    <row r="75">
      <c r="A75" s="3" t="n">
        <v>74</v>
      </c>
      <c r="B75" s="19" t="n">
        <v>2620</v>
      </c>
      <c r="C75" s="2" t="inlineStr">
        <is>
          <t>화성동탄(2)지구 A84BL 공동주택 외벽색채디자인(재도장)</t>
        </is>
      </c>
      <c r="D75" s="2" t="inlineStr">
        <is>
          <t>[D2620] 기본2609~2610 / 실시2610~ / 준공미정</t>
        </is>
      </c>
      <c r="E75" s="2" t="inlineStr">
        <is>
          <t>한화건설부문 고객서비스팀</t>
        </is>
      </c>
      <c r="F75" s="2" t="inlineStr">
        <is>
          <t>한화건설</t>
        </is>
      </c>
      <c r="G75" s="2" t="inlineStr">
        <is>
          <t>GM,P2</t>
        </is>
      </c>
      <c r="H75" s="2" t="inlineStr">
        <is>
          <t>박상원,최은진</t>
        </is>
      </c>
      <c r="I75" s="2" t="n"/>
      <c r="J75" s="2" t="n"/>
      <c r="K75" s="2" t="n"/>
      <c r="L75" s="3" t="inlineStr">
        <is>
          <t>기획</t>
        </is>
      </c>
      <c r="M75" s="3" t="n">
        <v>5</v>
      </c>
      <c r="N75" s="2" t="n"/>
    </row>
    <row r="76">
      <c r="A76" s="3" t="n">
        <v>75</v>
      </c>
      <c r="B76" s="20" t="n">
        <v>2621</v>
      </c>
      <c r="C76" s="15" t="inlineStr">
        <is>
          <t>남양주 도농 1-1구역 재개발정비사업 익스테리어디자인</t>
        </is>
      </c>
      <c r="D76" s="2" t="inlineStr">
        <is>
          <t>[D2621] 심의2609~ / 준공미정</t>
        </is>
      </c>
      <c r="E76" s="2" t="inlineStr">
        <is>
          <t>한화건설</t>
        </is>
      </c>
      <c r="F76" s="2" t="inlineStr">
        <is>
          <t>한화건설</t>
        </is>
      </c>
      <c r="G76" s="2" t="inlineStr">
        <is>
          <t>TEAM,P2</t>
        </is>
      </c>
      <c r="H76" s="2" t="inlineStr">
        <is>
          <t>양수정,최은진</t>
        </is>
      </c>
      <c r="I76" s="2" t="n"/>
      <c r="J76" s="2" t="n"/>
      <c r="K76" s="2" t="n"/>
      <c r="L76" s="3" t="inlineStr">
        <is>
          <t>기획</t>
        </is>
      </c>
      <c r="M76" s="3" t="n">
        <v>5</v>
      </c>
      <c r="N76" s="2" t="n"/>
    </row>
    <row r="77">
      <c r="A77" s="3" t="n">
        <v>76</v>
      </c>
      <c r="B77" s="15" t="inlineStr">
        <is>
          <t>D2622</t>
        </is>
      </c>
      <c r="C77" s="15" t="inlineStr">
        <is>
          <t>마포 4-1,4-9, 4-12BL 주상복합</t>
        </is>
      </c>
      <c r="D77" s="2" t="inlineStr">
        <is>
          <t>[D2622]</t>
        </is>
      </c>
      <c r="E77" s="2" t="inlineStr">
        <is>
          <t>건사리테일,도시미학더벨류</t>
        </is>
      </c>
      <c r="F77" s="2" t="inlineStr">
        <is>
          <t>미정</t>
        </is>
      </c>
      <c r="G77" s="2" t="inlineStr">
        <is>
          <t>TEAM,P3</t>
        </is>
      </c>
      <c r="H77" s="2" t="inlineStr">
        <is>
          <t>양수정,김주경</t>
        </is>
      </c>
      <c r="I77" s="2" t="n"/>
      <c r="J77" s="2" t="n"/>
      <c r="K77" s="2" t="n"/>
      <c r="L77" s="3" t="inlineStr">
        <is>
          <t>기획</t>
        </is>
      </c>
      <c r="M77" s="3" t="n">
        <v>5</v>
      </c>
      <c r="N77" s="2" t="n"/>
    </row>
    <row r="78" s="18">
      <c r="A78" s="3" t="n">
        <v>77</v>
      </c>
      <c r="B78" s="15" t="inlineStr">
        <is>
          <t>D2623</t>
        </is>
      </c>
      <c r="C78" s="15" t="inlineStr">
        <is>
          <t>삼성서광아파트 리모델링 디자인</t>
        </is>
      </c>
      <c r="D78" s="2" t="inlineStr">
        <is>
          <t>[D2623]</t>
        </is>
      </c>
      <c r="E78" s="2" t="inlineStr">
        <is>
          <t>삼성서광 리모델링주택조합</t>
        </is>
      </c>
      <c r="F78" s="2" t="inlineStr">
        <is>
          <t>현대엔지니어링</t>
        </is>
      </c>
      <c r="G78" s="2" t="inlineStr">
        <is>
          <t>TEAM,P3</t>
        </is>
      </c>
      <c r="H78" s="2" t="inlineStr">
        <is>
          <t>홍성은,최은진</t>
        </is>
      </c>
      <c r="I78" s="2" t="n"/>
      <c r="J78" s="2" t="n"/>
      <c r="K78" s="2" t="n"/>
      <c r="L78" s="3" t="inlineStr">
        <is>
          <t>기획</t>
        </is>
      </c>
      <c r="M78" s="3" t="n">
        <v>5</v>
      </c>
      <c r="N78" s="2" t="n"/>
    </row>
  </sheetData>
  <autoFilter ref="B1:N78">
    <sortState ref="B2:N58">
      <sortCondition ref="B1:B58"/>
    </sortState>
  </autoFilter>
  <printOptions horizontalCentered="1"/>
  <pageMargins left="0.25" right="0.25" top="0.3888888888888889" bottom="0.3888888888888889" header="0.1388888888888889" footer="0.1388888888888889"/>
  <pageSetup orientation="landscape" paperSize="8" scale="50" fitToHeight="2"/>
  <rowBreaks count="1" manualBreakCount="1">
    <brk id="39" min="0" max="13" man="1"/>
  </rowBreaks>
  <colBreaks count="1" manualBreakCount="1">
    <brk id="2" min="0" max="1048575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D13" sqref="D13"/>
    </sheetView>
  </sheetViews>
  <sheetFormatPr baseColWidth="8" defaultRowHeight="16.5"/>
  <cols>
    <col width="15" customWidth="1" style="7" min="1" max="1"/>
    <col width="13.375" customWidth="1" style="7" min="2" max="4"/>
    <col width="16.625" bestFit="1" customWidth="1" style="7" min="5" max="5"/>
    <col width="9" customWidth="1" style="7" min="6" max="16384"/>
  </cols>
  <sheetData>
    <row r="1">
      <c r="A1" s="11" t="inlineStr">
        <is>
          <t>팀</t>
        </is>
      </c>
      <c r="B1" s="11" t="inlineStr">
        <is>
          <t>점수(대기 제외)</t>
        </is>
      </c>
      <c r="C1" s="11" t="inlineStr">
        <is>
          <t>프로젝트 수</t>
        </is>
      </c>
      <c r="D1" s="11" t="inlineStr">
        <is>
          <t>대기 건수</t>
        </is>
      </c>
      <c r="E1" s="11" t="inlineStr">
        <is>
          <t>복수팀/ALL 건수</t>
        </is>
      </c>
    </row>
    <row r="2">
      <c r="A2" s="10" t="inlineStr">
        <is>
          <t>P1</t>
        </is>
      </c>
      <c r="B2" s="10">
        <f>SUMIFS(Design_PROJECT!$M:$M,Design_PROJECT!$G:$G,"*"&amp;A2&amp;"*",Design_PROJECT!$L:$L,"&lt;&gt;대기")+SUMIFS(Design_PROJECT!$M:$M,Design_PROJECT!$G:$G,"ALL",Design_PROJECT!$L:$L,"&lt;&gt;대기")</f>
        <v/>
      </c>
      <c r="C2" s="10">
        <f>COUNTIF(Design_PROJECT!$G:$G,"*"&amp;A2&amp;"*")+COUNTIF(Design_PROJECT!$G:$G,"ALL")</f>
        <v/>
      </c>
      <c r="D2" s="10">
        <f>COUNTIFS(Design_PROJECT!$G:$G,"*"&amp;A2&amp;"*",Design_PROJECT!$L:$L,"대기")+COUNTIFS(Design_PROJECT!$G:$G,"ALL",Design_PROJECT!$L:$L,"대기")</f>
        <v/>
      </c>
      <c r="E2" s="10">
        <f>COUNTIF(Design_PROJECT!$G:$G,"*"&amp;A2&amp;",*")+COUNTIF(Design_PROJECT!$G:$G,"*,"&amp;A2&amp;"*")+COUNTIF(Design_PROJECT!$G:$G,"ALL")</f>
        <v/>
      </c>
    </row>
    <row r="3">
      <c r="A3" s="10" t="inlineStr">
        <is>
          <t>P2</t>
        </is>
      </c>
      <c r="B3" s="10">
        <f>SUMIFS(Design_PROJECT!$M:$M,Design_PROJECT!$G:$G,"*"&amp;A3&amp;"*",Design_PROJECT!$L:$L,"&lt;&gt;대기")+SUMIFS(Design_PROJECT!$M:$M,Design_PROJECT!$G:$G,"ALL",Design_PROJECT!$L:$L,"&lt;&gt;대기")</f>
        <v/>
      </c>
      <c r="C3" s="10">
        <f>COUNTIF(Design_PROJECT!$G:$G,"*"&amp;A3&amp;"*")+COUNTIF(Design_PROJECT!$G:$G,"ALL")</f>
        <v/>
      </c>
      <c r="D3" s="10">
        <f>COUNTIFS(Design_PROJECT!$G:$G,"*"&amp;A3&amp;"*",Design_PROJECT!$L:$L,"대기")+COUNTIFS(Design_PROJECT!$G:$G,"ALL",Design_PROJECT!$L:$L,"대기")</f>
        <v/>
      </c>
      <c r="E3" s="10">
        <f>COUNTIF(Design_PROJECT!$G:$G,"*"&amp;A3&amp;",*")+COUNTIF(Design_PROJECT!$G:$G,"*,"&amp;A3&amp;"*")+COUNTIF(Design_PROJECT!$G:$G,"ALL")</f>
        <v/>
      </c>
    </row>
    <row r="4">
      <c r="A4" s="10" t="inlineStr">
        <is>
          <t>P3</t>
        </is>
      </c>
      <c r="B4" s="10">
        <f>SUMIFS(Design_PROJECT!$M:$M,Design_PROJECT!$G:$G,"*"&amp;A4&amp;"*",Design_PROJECT!$L:$L,"&lt;&gt;대기")+SUMIFS(Design_PROJECT!$M:$M,Design_PROJECT!$G:$G,"ALL",Design_PROJECT!$L:$L,"&lt;&gt;대기")</f>
        <v/>
      </c>
      <c r="C4" s="10">
        <f>COUNTIF(Design_PROJECT!$G:$G,"*"&amp;A4&amp;"*")+COUNTIF(Design_PROJECT!$G:$G,"ALL")</f>
        <v/>
      </c>
      <c r="D4" s="10">
        <f>COUNTIFS(Design_PROJECT!$G:$G,"*"&amp;A4&amp;"*",Design_PROJECT!$L:$L,"대기")+COUNTIFS(Design_PROJECT!$G:$G,"ALL",Design_PROJECT!$L:$L,"대기")</f>
        <v/>
      </c>
      <c r="E4" s="10">
        <f>COUNTIF(Design_PROJECT!$G:$G,"*"&amp;A4&amp;",*")+COUNTIF(Design_PROJECT!$G:$G,"*,"&amp;A4&amp;"*")+COUNTIF(Design_PROJECT!$G:$G,"ALL")</f>
        <v/>
      </c>
    </row>
    <row r="5">
      <c r="A5" s="10" t="inlineStr">
        <is>
          <t>GM</t>
        </is>
      </c>
      <c r="B5" s="10">
        <f>SUMIFS(Design_PROJECT!$M:$M,Design_PROJECT!$G:$G,"*"&amp;A5&amp;"*",Design_PROJECT!$L:$L,"&lt;&gt;대기")+SUMIFS(Design_PROJECT!$M:$M,Design_PROJECT!$G:$G,"ALL",Design_PROJECT!$L:$L,"&lt;&gt;대기")</f>
        <v/>
      </c>
      <c r="C5" s="10">
        <f>COUNTIF(Design_PROJECT!$G:$G,"*"&amp;A5&amp;"*")+COUNTIF(Design_PROJECT!$G:$G,"ALL")</f>
        <v/>
      </c>
      <c r="D5" s="10">
        <f>COUNTIFS(Design_PROJECT!$G:$G,"*"&amp;A5&amp;"*",Design_PROJECT!$L:$L,"대기")+COUNTIFS(Design_PROJECT!$G:$G,"ALL",Design_PROJECT!$L:$L,"대기")</f>
        <v/>
      </c>
      <c r="E5" s="10">
        <f>COUNTIF(Design_PROJECT!$G:$G,"*"&amp;A5&amp;",*")+COUNTIF(Design_PROJECT!$G:$G,"*,"&amp;A5&amp;"*")+COUNTIF(Design_PROJECT!$G:$G,"ALL")</f>
        <v/>
      </c>
    </row>
    <row r="6">
      <c r="A6" s="10" t="inlineStr">
        <is>
          <t>TEAM</t>
        </is>
      </c>
      <c r="B6" s="10">
        <f>SUMIFS(Design_PROJECT!$M:$M,Design_PROJECT!$G:$G,"*"&amp;A6&amp;"*",Design_PROJECT!$L:$L,"&lt;&gt;대기")+SUMIFS(Design_PROJECT!$M:$M,Design_PROJECT!$G:$G,"ALL",Design_PROJECT!$L:$L,"&lt;&gt;대기")</f>
        <v/>
      </c>
      <c r="C6" s="10">
        <f>COUNTIF(Design_PROJECT!$G:$G,"*"&amp;A6&amp;"*")+COUNTIF(Design_PROJECT!$G:$G,"ALL")</f>
        <v/>
      </c>
      <c r="D6" s="10">
        <f>COUNTIFS(Design_PROJECT!$G:$G,"*"&amp;A6&amp;"*",Design_PROJECT!$L:$L,"대기")+COUNTIFS(Design_PROJECT!$G:$G,"ALL",Design_PROJECT!$L:$L,"대기")</f>
        <v/>
      </c>
      <c r="E6" s="10">
        <f>COUNTIF(Design_PROJECT!$G:$G,"*"&amp;A6&amp;",*")+COUNTIF(Design_PROJECT!$G:$G,"*,"&amp;A6&amp;"*")+COUNTIF(Design_PROJECT!$G:$G,"ALL")</f>
        <v/>
      </c>
    </row>
    <row r="7">
      <c r="A7" s="12" t="inlineStr">
        <is>
          <t>합계(복수팀 포함)</t>
        </is>
      </c>
      <c r="B7" s="12">
        <f>SUM(B2:B6)</f>
        <v/>
      </c>
      <c r="C7" s="12">
        <f>SUM(C2:C6)</f>
        <v/>
      </c>
      <c r="D7" s="12">
        <f>SUM(D2:D6)</f>
        <v/>
      </c>
      <c r="E7" s="12" t="n"/>
    </row>
    <row r="8">
      <c r="A8" s="12" t="inlineStr">
        <is>
          <t>원본 합계</t>
        </is>
      </c>
      <c r="B8" s="12">
        <f>SUMIFS(Design_PROJECT!$M:$M,Design_PROJECT!$L:$L,"&lt;&gt;대기")</f>
        <v/>
      </c>
      <c r="C8" s="12">
        <f>COUNTA(Design_PROJECT!$G:$G)-1</f>
        <v/>
      </c>
      <c r="D8" s="12">
        <f>COUNTIF(Design_PROJECT!$L:$L,"대기")</f>
        <v/>
      </c>
      <c r="E8" s="12" t="n"/>
    </row>
    <row r="9">
      <c r="A9" s="0" t="n"/>
      <c r="B9" s="0" t="n"/>
      <c r="C9" s="0" t="n"/>
      <c r="D9" s="0" t="n"/>
      <c r="E9" s="0" t="n"/>
    </row>
    <row r="10">
      <c r="A10" s="13" t="inlineStr">
        <is>
          <t>※ 점수는 현재단계가 '대기'인 프로젝트를 제외한 합계. 소속팀이 복수(예: GM,P2) 또는 ALL인 프로젝트는 해당 팀 모두에 집계</t>
        </is>
      </c>
      <c r="B10" s="0" t="n"/>
      <c r="C10" s="0" t="n"/>
      <c r="D10" s="0" t="n"/>
      <c r="E10" s="0" t="n"/>
    </row>
    <row r="11">
      <c r="A11" s="0" t="n"/>
      <c r="B11" s="0" t="n"/>
      <c r="C11" s="0" t="n"/>
      <c r="D11" s="0" t="n"/>
      <c r="E11" s="0" t="n"/>
    </row>
    <row r="12">
      <c r="A12" s="0" t="n"/>
      <c r="B12" s="0" t="n"/>
      <c r="C12" s="0" t="n"/>
      <c r="D12" s="0" t="n"/>
      <c r="E12" s="0" t="n"/>
    </row>
    <row r="13">
      <c r="A13" s="0" t="n"/>
      <c r="B13" s="0" t="n"/>
      <c r="C13" s="0" t="n"/>
      <c r="D13" s="0" t="n"/>
      <c r="E13" s="0" t="n"/>
    </row>
    <row r="14">
      <c r="A14" s="0" t="n"/>
      <c r="B14" s="0" t="n"/>
      <c r="C14" s="0" t="n"/>
      <c r="D14" s="0" t="n"/>
      <c r="E14" s="0" t="n"/>
    </row>
    <row r="15">
      <c r="A15" s="0" t="n"/>
      <c r="B15" s="0" t="n"/>
      <c r="C15" s="0" t="n"/>
      <c r="D15" s="0" t="n"/>
      <c r="E15" s="0" t="n"/>
    </row>
    <row r="16">
      <c r="A16" s="0" t="n"/>
      <c r="B16" s="0" t="n"/>
      <c r="C16" s="0" t="n"/>
      <c r="D16" s="0" t="n"/>
      <c r="E16" s="0" t="n"/>
    </row>
    <row r="17">
      <c r="A17" s="0" t="n"/>
      <c r="B17" s="0" t="n"/>
      <c r="C17" s="0" t="n"/>
      <c r="D17" s="0" t="n"/>
      <c r="E17" s="0" t="n"/>
    </row>
    <row r="18">
      <c r="A18" s="0" t="n"/>
      <c r="B18" s="0" t="n"/>
      <c r="C18" s="0" t="n"/>
      <c r="D18" s="0" t="n"/>
      <c r="E18" s="0" t="n"/>
    </row>
    <row r="19">
      <c r="A19" s="0" t="n"/>
      <c r="B19" s="0" t="n"/>
      <c r="C19" s="0" t="n"/>
      <c r="D19" s="0" t="n"/>
      <c r="E19" s="0" t="n"/>
    </row>
    <row r="20">
      <c r="A20" s="0" t="n"/>
      <c r="B20" s="0" t="n"/>
      <c r="C20" s="0" t="n"/>
      <c r="D20" s="0" t="n"/>
      <c r="E20" s="0" t="n"/>
    </row>
  </sheetData>
  <pageMargins left="0.75" right="0.75" top="1" bottom="1" header="0.5" footer="0.5"/>
  <pageSetup orientation="portrait" paperSize="9" copies="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view="pageBreakPreview" zoomScale="60" zoomScaleNormal="100" workbookViewId="0">
      <selection activeCell="G37" sqref="G37"/>
    </sheetView>
  </sheetViews>
  <sheetFormatPr baseColWidth="8" defaultRowHeight="16.5"/>
  <cols>
    <col width="10" customWidth="1" style="18" min="1" max="1"/>
    <col width="12.5" customWidth="1" style="18" min="2" max="7"/>
  </cols>
  <sheetData>
    <row r="1">
      <c r="A1" s="11" t="inlineStr">
        <is>
          <t>소속팀</t>
        </is>
      </c>
      <c r="B1" s="11" t="inlineStr">
        <is>
          <t>기획</t>
        </is>
      </c>
      <c r="C1" s="11" t="inlineStr">
        <is>
          <t>기본</t>
        </is>
      </c>
      <c r="D1" s="11" t="inlineStr">
        <is>
          <t>실시</t>
        </is>
      </c>
      <c r="E1" s="11" t="inlineStr">
        <is>
          <t>대기</t>
        </is>
      </c>
      <c r="F1" s="11" t="inlineStr">
        <is>
          <t>현장지원</t>
        </is>
      </c>
      <c r="G1" s="11" t="inlineStr">
        <is>
          <t>현장지원 제외 건수</t>
        </is>
      </c>
    </row>
    <row r="2">
      <c r="A2" s="10" t="inlineStr">
        <is>
          <t>P1</t>
        </is>
      </c>
      <c r="B2" s="21">
        <f>IFERROR((COUNTIFS(Design_PROJECT!$G:$G,"*"&amp;$A2&amp;"*",Design_PROJECT!$L:$L,B$1)+COUNTIFS(Design_PROJECT!$G:$G,"ALL",Design_PROJECT!$L:$L,B$1))/$G2,0)</f>
        <v/>
      </c>
      <c r="C2" s="21">
        <f>IFERROR((COUNTIFS(Design_PROJECT!$G:$G,"*"&amp;$A2&amp;"*",Design_PROJECT!$L:$L,C$1)+COUNTIFS(Design_PROJECT!$G:$G,"ALL",Design_PROJECT!$L:$L,C$1))/$G2,0)</f>
        <v/>
      </c>
      <c r="D2" s="21">
        <f>IFERROR((COUNTIFS(Design_PROJECT!$G:$G,"*"&amp;$A2&amp;"*",Design_PROJECT!$L:$L,D$1)+COUNTIFS(Design_PROJECT!$G:$G,"ALL",Design_PROJECT!$L:$L,D$1))/$G2,0)</f>
        <v/>
      </c>
      <c r="E2" s="21">
        <f>IFERROR((COUNTIFS(Design_PROJECT!$G:$G,"*"&amp;$A2&amp;"*",Design_PROJECT!$L:$L,E$1)+COUNTIFS(Design_PROJECT!$G:$G,"ALL",Design_PROJECT!$L:$L,E$1))/$G2,0)</f>
        <v/>
      </c>
      <c r="F2" s="10">
        <f>COUNTIFS(Design_PROJECT!$G:$G,"*"&amp;$A2&amp;"*",Design_PROJECT!$L:$L,F$1)+COUNTIFS(Design_PROJECT!$G:$G,"ALL",Design_PROJECT!$L:$L,F$1)</f>
        <v/>
      </c>
      <c r="G2" s="10">
        <f>COUNTIFS(Design_PROJECT!$G:$G,"*"&amp;$A2&amp;"*",Design_PROJECT!$L:$L,"&lt;&gt;현장지원")+COUNTIFS(Design_PROJECT!$G:$G,"ALL",Design_PROJECT!$L:$L,"&lt;&gt;현장지원")</f>
        <v/>
      </c>
    </row>
    <row r="3">
      <c r="A3" s="10" t="inlineStr">
        <is>
          <t>P2</t>
        </is>
      </c>
      <c r="B3" s="21">
        <f>IFERROR((COUNTIFS(Design_PROJECT!$G:$G,"*"&amp;$A3&amp;"*",Design_PROJECT!$L:$L,B$1)+COUNTIFS(Design_PROJECT!$G:$G,"ALL",Design_PROJECT!$L:$L,B$1))/$G3,0)</f>
        <v/>
      </c>
      <c r="C3" s="21">
        <f>IFERROR((COUNTIFS(Design_PROJECT!$G:$G,"*"&amp;$A3&amp;"*",Design_PROJECT!$L:$L,C$1)+COUNTIFS(Design_PROJECT!$G:$G,"ALL",Design_PROJECT!$L:$L,C$1))/$G3,0)</f>
        <v/>
      </c>
      <c r="D3" s="21">
        <f>IFERROR((COUNTIFS(Design_PROJECT!$G:$G,"*"&amp;$A3&amp;"*",Design_PROJECT!$L:$L,D$1)+COUNTIFS(Design_PROJECT!$G:$G,"ALL",Design_PROJECT!$L:$L,D$1))/$G3,0)</f>
        <v/>
      </c>
      <c r="E3" s="21">
        <f>IFERROR((COUNTIFS(Design_PROJECT!$G:$G,"*"&amp;$A3&amp;"*",Design_PROJECT!$L:$L,E$1)+COUNTIFS(Design_PROJECT!$G:$G,"ALL",Design_PROJECT!$L:$L,E$1))/$G3,0)</f>
        <v/>
      </c>
      <c r="F3" s="10">
        <f>COUNTIFS(Design_PROJECT!$G:$G,"*"&amp;$A3&amp;"*",Design_PROJECT!$L:$L,F$1)+COUNTIFS(Design_PROJECT!$G:$G,"ALL",Design_PROJECT!$L:$L,F$1)</f>
        <v/>
      </c>
      <c r="G3" s="10">
        <f>COUNTIFS(Design_PROJECT!$G:$G,"*"&amp;$A3&amp;"*",Design_PROJECT!$L:$L,"&lt;&gt;현장지원")+COUNTIFS(Design_PROJECT!$G:$G,"ALL",Design_PROJECT!$L:$L,"&lt;&gt;현장지원")</f>
        <v/>
      </c>
    </row>
    <row r="4">
      <c r="A4" s="10" t="inlineStr">
        <is>
          <t>P3</t>
        </is>
      </c>
      <c r="B4" s="21">
        <f>IFERROR((COUNTIFS(Design_PROJECT!$G:$G,"*"&amp;$A4&amp;"*",Design_PROJECT!$L:$L,B$1)+COUNTIFS(Design_PROJECT!$G:$G,"ALL",Design_PROJECT!$L:$L,B$1))/$G4,0)</f>
        <v/>
      </c>
      <c r="C4" s="21">
        <f>IFERROR((COUNTIFS(Design_PROJECT!$G:$G,"*"&amp;$A4&amp;"*",Design_PROJECT!$L:$L,C$1)+COUNTIFS(Design_PROJECT!$G:$G,"ALL",Design_PROJECT!$L:$L,C$1))/$G4,0)</f>
        <v/>
      </c>
      <c r="D4" s="21">
        <f>IFERROR((COUNTIFS(Design_PROJECT!$G:$G,"*"&amp;$A4&amp;"*",Design_PROJECT!$L:$L,D$1)+COUNTIFS(Design_PROJECT!$G:$G,"ALL",Design_PROJECT!$L:$L,D$1))/$G4,0)</f>
        <v/>
      </c>
      <c r="E4" s="21">
        <f>IFERROR((COUNTIFS(Design_PROJECT!$G:$G,"*"&amp;$A4&amp;"*",Design_PROJECT!$L:$L,E$1)+COUNTIFS(Design_PROJECT!$G:$G,"ALL",Design_PROJECT!$L:$L,E$1))/$G4,0)</f>
        <v/>
      </c>
      <c r="F4" s="10">
        <f>COUNTIFS(Design_PROJECT!$G:$G,"*"&amp;$A4&amp;"*",Design_PROJECT!$L:$L,F$1)+COUNTIFS(Design_PROJECT!$G:$G,"ALL",Design_PROJECT!$L:$L,F$1)</f>
        <v/>
      </c>
      <c r="G4" s="10">
        <f>COUNTIFS(Design_PROJECT!$G:$G,"*"&amp;$A4&amp;"*",Design_PROJECT!$L:$L,"&lt;&gt;현장지원")+COUNTIFS(Design_PROJECT!$G:$G,"ALL",Design_PROJECT!$L:$L,"&lt;&gt;현장지원")</f>
        <v/>
      </c>
    </row>
    <row r="5">
      <c r="A5" s="10" t="inlineStr">
        <is>
          <t>GM</t>
        </is>
      </c>
      <c r="B5" s="21">
        <f>IFERROR((COUNTIFS(Design_PROJECT!$G:$G,"*"&amp;$A5&amp;"*",Design_PROJECT!$L:$L,B$1)+COUNTIFS(Design_PROJECT!$G:$G,"ALL",Design_PROJECT!$L:$L,B$1))/$G5,0)</f>
        <v/>
      </c>
      <c r="C5" s="21">
        <f>IFERROR((COUNTIFS(Design_PROJECT!$G:$G,"*"&amp;$A5&amp;"*",Design_PROJECT!$L:$L,C$1)+COUNTIFS(Design_PROJECT!$G:$G,"ALL",Design_PROJECT!$L:$L,C$1))/$G5,0)</f>
        <v/>
      </c>
      <c r="D5" s="21">
        <f>IFERROR((COUNTIFS(Design_PROJECT!$G:$G,"*"&amp;$A5&amp;"*",Design_PROJECT!$L:$L,D$1)+COUNTIFS(Design_PROJECT!$G:$G,"ALL",Design_PROJECT!$L:$L,D$1))/$G5,0)</f>
        <v/>
      </c>
      <c r="E5" s="21">
        <f>IFERROR((COUNTIFS(Design_PROJECT!$G:$G,"*"&amp;$A5&amp;"*",Design_PROJECT!$L:$L,E$1)+COUNTIFS(Design_PROJECT!$G:$G,"ALL",Design_PROJECT!$L:$L,E$1))/$G5,0)</f>
        <v/>
      </c>
      <c r="F5" s="10">
        <f>COUNTIFS(Design_PROJECT!$G:$G,"*"&amp;$A5&amp;"*",Design_PROJECT!$L:$L,F$1)+COUNTIFS(Design_PROJECT!$G:$G,"ALL",Design_PROJECT!$L:$L,F$1)</f>
        <v/>
      </c>
      <c r="G5" s="10">
        <f>COUNTIFS(Design_PROJECT!$G:$G,"*"&amp;$A5&amp;"*",Design_PROJECT!$L:$L,"&lt;&gt;현장지원")+COUNTIFS(Design_PROJECT!$G:$G,"ALL",Design_PROJECT!$L:$L,"&lt;&gt;현장지원")</f>
        <v/>
      </c>
    </row>
    <row r="6">
      <c r="A6" s="10" t="inlineStr">
        <is>
          <t>TEAM</t>
        </is>
      </c>
      <c r="B6" s="21">
        <f>IFERROR((COUNTIFS(Design_PROJECT!$G:$G,"*"&amp;$A6&amp;"*",Design_PROJECT!$L:$L,B$1)+COUNTIFS(Design_PROJECT!$G:$G,"ALL",Design_PROJECT!$L:$L,B$1))/$G6,0)</f>
        <v/>
      </c>
      <c r="C6" s="21">
        <f>IFERROR((COUNTIFS(Design_PROJECT!$G:$G,"*"&amp;$A6&amp;"*",Design_PROJECT!$L:$L,C$1)+COUNTIFS(Design_PROJECT!$G:$G,"ALL",Design_PROJECT!$L:$L,C$1))/$G6,0)</f>
        <v/>
      </c>
      <c r="D6" s="21">
        <f>IFERROR((COUNTIFS(Design_PROJECT!$G:$G,"*"&amp;$A6&amp;"*",Design_PROJECT!$L:$L,D$1)+COUNTIFS(Design_PROJECT!$G:$G,"ALL",Design_PROJECT!$L:$L,D$1))/$G6,0)</f>
        <v/>
      </c>
      <c r="E6" s="21">
        <f>IFERROR((COUNTIFS(Design_PROJECT!$G:$G,"*"&amp;$A6&amp;"*",Design_PROJECT!$L:$L,E$1)+COUNTIFS(Design_PROJECT!$G:$G,"ALL",Design_PROJECT!$L:$L,E$1))/$G6,0)</f>
        <v/>
      </c>
      <c r="F6" s="10">
        <f>COUNTIFS(Design_PROJECT!$G:$G,"*"&amp;$A6&amp;"*",Design_PROJECT!$L:$L,F$1)+COUNTIFS(Design_PROJECT!$G:$G,"ALL",Design_PROJECT!$L:$L,F$1)</f>
        <v/>
      </c>
      <c r="G6" s="10">
        <f>COUNTIFS(Design_PROJECT!$G:$G,"*"&amp;$A6&amp;"*",Design_PROJECT!$L:$L,"&lt;&gt;현장지원")+COUNTIFS(Design_PROJECT!$G:$G,"ALL",Design_PROJECT!$L:$L,"&lt;&gt;현장지원")</f>
        <v/>
      </c>
    </row>
    <row r="8">
      <c r="A8" s="13" t="inlineStr">
        <is>
          <t>※ 비율 = 해당 단계 건수 / (현장지원 제외 프로젝트 수). 현장지원은 건수. 소속팀 ALL은 전 팀에 포함</t>
        </is>
      </c>
    </row>
  </sheetData>
  <pageMargins left="0.7" right="0.7" top="0.75" bottom="0.75" header="0.3" footer="0.3"/>
  <pageSetup orientation="portrait" paperSize="9" copies="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swpark</dc:creator>
  <dcterms:created xmlns:dcterms="http://purl.org/dc/terms/" xmlns:xsi="http://www.w3.org/2001/XMLSchema-instance" xsi:type="dcterms:W3CDTF">2026-01-13T11:05:11Z</dcterms:created>
  <dcterms:modified xmlns:dcterms="http://purl.org/dc/terms/" xmlns:xsi="http://www.w3.org/2001/XMLSchema-instance" xsi:type="dcterms:W3CDTF">2026-10-26T03:29:55Z</dcterms:modified>
  <cp:lastModifiedBy>박 상원</cp:lastModifiedBy>
  <cp:lastPrinted>2026-10-21T01:11:43Z</cp:lastPrinted>
</cp:coreProperties>
</file>